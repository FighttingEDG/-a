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683" activeTab="1"/>
  </bookViews>
  <sheets>
    <sheet name="付款单模板" sheetId="13" r:id="rId1"/>
    <sheet name="费用报销单模板" sheetId="2" r:id="rId2"/>
    <sheet name="业务招待费明细表" sheetId="10" r:id="rId3"/>
    <sheet name="交通费报销明细表" sheetId="9" r:id="rId4"/>
    <sheet name="差旅费报销单" sheetId="4" r:id="rId5"/>
    <sheet name="出差报告" sheetId="5" r:id="rId6"/>
    <sheet name="出差住宿标准参考" sheetId="11" r:id="rId7"/>
    <sheet name="基础数据" sheetId="3" r:id="rId8"/>
    <sheet name="费用大类" sheetId="12" r:id="rId9"/>
  </sheets>
  <definedNames>
    <definedName name="_xlnm._FilterDatabase" localSheetId="6" hidden="1">出差住宿标准参考!$A$1:$C$42</definedName>
    <definedName name="_xlnm.Print_Area" localSheetId="4">差旅费报销单!$A$1:$N$13</definedName>
    <definedName name="_xlnm.Print_Area" localSheetId="5">出差报告!$A$1:$F$10</definedName>
    <definedName name="_xlnm.Print_Area" localSheetId="1">费用报销单模板!$A$1:$H$11</definedName>
    <definedName name="_xlnm.Print_Area" localSheetId="0">付款单模板!$B$1:$I$9</definedName>
    <definedName name="_xlnm.Print_Area" localSheetId="3">交通费报销明细表!$A$1:$F$19</definedName>
    <definedName name="_xlnm.Print_Area" localSheetId="2">业务招待费明细表!$A$2:$O$8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詹洁</author>
  </authors>
  <commentList>
    <comment ref="E4" authorId="0">
      <text>
        <r>
          <rPr>
            <b/>
            <sz val="9"/>
            <rFont val="宋体"/>
            <charset val="134"/>
          </rPr>
          <t>詹洁:</t>
        </r>
        <r>
          <rPr>
            <sz val="9"/>
            <rFont val="宋体"/>
            <charset val="134"/>
          </rPr>
          <t xml:space="preserve">
成本中心选开发调研，则在备注中写明开发的具体项目。</t>
        </r>
      </text>
    </comment>
  </commentList>
</comments>
</file>

<file path=xl/comments2.xml><?xml version="1.0" encoding="utf-8"?>
<comments xmlns="http://schemas.openxmlformats.org/spreadsheetml/2006/main">
  <authors>
    <author>詹洁</author>
    <author>作者</author>
  </authors>
  <commentList>
    <comment ref="A2" authorId="0">
      <text>
        <r>
          <rPr>
            <b/>
            <sz val="9"/>
            <rFont val="宋体"/>
            <charset val="134"/>
          </rPr>
          <t>詹洁:</t>
        </r>
        <r>
          <rPr>
            <sz val="9"/>
            <rFont val="宋体"/>
            <charset val="134"/>
          </rPr>
          <t xml:space="preserve">
填业务发生日期</t>
        </r>
      </text>
    </comment>
    <comment ref="C2" authorId="0">
      <text>
        <r>
          <rPr>
            <b/>
            <sz val="9"/>
            <rFont val="宋体"/>
            <charset val="134"/>
          </rPr>
          <t>詹洁:</t>
        </r>
        <r>
          <rPr>
            <sz val="9"/>
            <rFont val="宋体"/>
            <charset val="134"/>
          </rPr>
          <t xml:space="preserve">
成本中心选开发调研，则在备注中写明开发的具体项目。</t>
        </r>
      </text>
    </comment>
    <comment ref="D2" authorId="0">
      <text>
        <r>
          <rPr>
            <b/>
            <sz val="9"/>
            <rFont val="宋体"/>
            <charset val="134"/>
          </rPr>
          <t>詹洁:</t>
        </r>
        <r>
          <rPr>
            <sz val="9"/>
            <rFont val="宋体"/>
            <charset val="134"/>
          </rPr>
          <t xml:space="preserve">
报销人职务</t>
        </r>
      </text>
    </comment>
    <comment ref="L2" authorId="0">
      <text>
        <r>
          <rPr>
            <b/>
            <sz val="9"/>
            <rFont val="宋体"/>
            <charset val="134"/>
          </rPr>
          <t>詹洁:</t>
        </r>
        <r>
          <rPr>
            <sz val="9"/>
            <rFont val="宋体"/>
            <charset val="134"/>
          </rPr>
          <t xml:space="preserve">
业务招待XX
举例：业务招待餐费、业务招待烟酒等等</t>
        </r>
      </text>
    </comment>
    <comment ref="N2" authorId="1">
      <text>
        <r>
          <rPr>
            <b/>
            <sz val="9"/>
            <color rgb="FF000000"/>
            <rFont val="宋体"/>
            <charset val="134"/>
          </rPr>
          <t>作者:</t>
        </r>
        <r>
          <rPr>
            <sz val="9"/>
            <color rgb="FF000000"/>
            <rFont val="宋体"/>
            <charset val="134"/>
          </rPr>
          <t xml:space="preserve">
人均金额按照：消费金额/(同行人数+被招待人数+报销人自己）
</t>
        </r>
      </text>
    </comment>
    <comment ref="E3" authorId="1">
      <text>
        <r>
          <rPr>
            <b/>
            <sz val="9"/>
            <rFont val="宋体"/>
            <charset val="134"/>
          </rPr>
          <t>作者:</t>
        </r>
        <r>
          <rPr>
            <sz val="9"/>
            <rFont val="宋体"/>
            <charset val="134"/>
          </rPr>
          <t xml:space="preserve">
若无同行人，请选择0</t>
        </r>
      </text>
    </comment>
    <comment ref="F3" authorId="0">
      <text>
        <r>
          <rPr>
            <b/>
            <sz val="9"/>
            <rFont val="宋体"/>
            <charset val="134"/>
          </rPr>
          <t>詹洁:</t>
        </r>
        <r>
          <rPr>
            <sz val="9"/>
            <rFont val="宋体"/>
            <charset val="134"/>
          </rPr>
          <t xml:space="preserve">
填写最高职务人员</t>
        </r>
      </text>
    </comment>
    <comment ref="G3" authorId="1">
      <text>
        <r>
          <rPr>
            <b/>
            <sz val="9"/>
            <rFont val="宋体"/>
            <charset val="134"/>
          </rPr>
          <t>作者:</t>
        </r>
        <r>
          <rPr>
            <sz val="9"/>
            <rFont val="宋体"/>
            <charset val="134"/>
          </rPr>
          <t xml:space="preserve">
填写最高职务</t>
        </r>
      </text>
    </comment>
    <comment ref="I3" authorId="1">
      <text>
        <r>
          <rPr>
            <b/>
            <sz val="9"/>
            <rFont val="宋体"/>
            <charset val="134"/>
          </rPr>
          <t>作者:</t>
        </r>
        <r>
          <rPr>
            <sz val="9"/>
            <rFont val="宋体"/>
            <charset val="134"/>
          </rPr>
          <t xml:space="preserve">
填写最高职务</t>
        </r>
      </text>
    </comment>
  </commentList>
</comments>
</file>

<file path=xl/comments3.xml><?xml version="1.0" encoding="utf-8"?>
<comments xmlns="http://schemas.openxmlformats.org/spreadsheetml/2006/main">
  <authors>
    <author>詹洁</author>
  </authors>
  <commentList>
    <comment ref="G5" authorId="0">
      <text>
        <r>
          <rPr>
            <b/>
            <sz val="9"/>
            <rFont val="宋体"/>
            <charset val="134"/>
          </rPr>
          <t>詹洁:</t>
        </r>
        <r>
          <rPr>
            <sz val="9"/>
            <rFont val="宋体"/>
            <charset val="134"/>
          </rPr>
          <t xml:space="preserve">
机票类：机票费、改签费、退票费</t>
        </r>
      </text>
    </comment>
    <comment ref="H5" authorId="0">
      <text>
        <r>
          <rPr>
            <b/>
            <sz val="9"/>
            <rFont val="宋体"/>
            <charset val="134"/>
          </rPr>
          <t>詹洁:</t>
        </r>
        <r>
          <rPr>
            <sz val="9"/>
            <rFont val="宋体"/>
            <charset val="134"/>
          </rPr>
          <t xml:space="preserve">
车票类：火车票费、改签费、退票费</t>
        </r>
      </text>
    </comment>
    <comment ref="I5" authorId="0">
      <text>
        <r>
          <rPr>
            <b/>
            <sz val="9"/>
            <rFont val="宋体"/>
            <charset val="134"/>
          </rPr>
          <t>詹洁:</t>
        </r>
        <r>
          <rPr>
            <sz val="9"/>
            <rFont val="宋体"/>
            <charset val="134"/>
          </rPr>
          <t xml:space="preserve">
打车费及租车费</t>
        </r>
      </text>
    </comment>
    <comment ref="M5" authorId="0">
      <text>
        <r>
          <rPr>
            <b/>
            <sz val="9"/>
            <rFont val="宋体"/>
            <charset val="134"/>
          </rPr>
          <t>詹洁:</t>
        </r>
        <r>
          <rPr>
            <sz val="9"/>
            <rFont val="宋体"/>
            <charset val="134"/>
          </rPr>
          <t xml:space="preserve">
如合并在本次差旅费报销中，需填写金额，否则不需填金额。</t>
        </r>
      </text>
    </comment>
  </commentList>
</comments>
</file>

<file path=xl/sharedStrings.xml><?xml version="1.0" encoding="utf-8"?>
<sst xmlns="http://schemas.openxmlformats.org/spreadsheetml/2006/main" count="444" uniqueCount="320">
  <si>
    <r>
      <rPr>
        <b/>
        <sz val="16"/>
        <rFont val="微软雅黑"/>
        <charset val="134"/>
      </rPr>
      <t>付</t>
    </r>
    <r>
      <rPr>
        <sz val="16"/>
        <rFont val="微软雅黑"/>
        <charset val="134"/>
      </rPr>
      <t xml:space="preserve"> </t>
    </r>
    <r>
      <rPr>
        <b/>
        <sz val="16"/>
        <rFont val="微软雅黑"/>
        <charset val="134"/>
      </rPr>
      <t>款</t>
    </r>
    <r>
      <rPr>
        <sz val="16"/>
        <rFont val="微软雅黑"/>
        <charset val="134"/>
      </rPr>
      <t xml:space="preserve"> </t>
    </r>
    <r>
      <rPr>
        <b/>
        <sz val="16"/>
        <rFont val="微软雅黑"/>
        <charset val="134"/>
      </rPr>
      <t>申</t>
    </r>
    <r>
      <rPr>
        <sz val="16"/>
        <rFont val="微软雅黑"/>
        <charset val="134"/>
      </rPr>
      <t xml:space="preserve"> </t>
    </r>
    <r>
      <rPr>
        <b/>
        <sz val="16"/>
        <rFont val="微软雅黑"/>
        <charset val="134"/>
      </rPr>
      <t>请</t>
    </r>
    <r>
      <rPr>
        <sz val="16"/>
        <rFont val="微软雅黑"/>
        <charset val="134"/>
      </rPr>
      <t xml:space="preserve"> </t>
    </r>
    <r>
      <rPr>
        <b/>
        <sz val="16"/>
        <rFont val="微软雅黑"/>
        <charset val="134"/>
      </rPr>
      <t>单</t>
    </r>
  </si>
  <si>
    <t>申请部门：                                                                     年        月          日                      编       号  ：</t>
  </si>
  <si>
    <t>收款单位</t>
  </si>
  <si>
    <t>付  款  原  因
支付       年         费用</t>
  </si>
  <si>
    <t>银行账号</t>
  </si>
  <si>
    <t>开 户 行</t>
  </si>
  <si>
    <t>金    额</t>
  </si>
  <si>
    <t>附    件         张</t>
  </si>
  <si>
    <t>付  款  金   额</t>
  </si>
  <si>
    <t>总经理审批</t>
  </si>
  <si>
    <t>财务总监审批</t>
  </si>
  <si>
    <t>会计审批</t>
  </si>
  <si>
    <t>出纳付款</t>
  </si>
  <si>
    <t>直属领导审批</t>
  </si>
  <si>
    <t>经  办  人</t>
  </si>
  <si>
    <t>费用报销单</t>
  </si>
  <si>
    <t>深圳市微网数电科技有限公司</t>
  </si>
  <si>
    <t>填报日期：</t>
  </si>
  <si>
    <t>2026.4.10</t>
  </si>
  <si>
    <t>报销部门：</t>
  </si>
  <si>
    <t>设备部</t>
  </si>
  <si>
    <t>填报人：</t>
  </si>
  <si>
    <t>单俊伟</t>
  </si>
  <si>
    <t>附件页数：</t>
  </si>
  <si>
    <t>序号</t>
  </si>
  <si>
    <t>用途</t>
  </si>
  <si>
    <t>成本中心</t>
  </si>
  <si>
    <t>费用类别</t>
  </si>
  <si>
    <t>金额</t>
  </si>
  <si>
    <t>备注</t>
  </si>
  <si>
    <t>服务器安装相关</t>
  </si>
  <si>
    <t>公共项目-管理公摊</t>
  </si>
  <si>
    <t>办公费/低值易耗品</t>
  </si>
  <si>
    <t>金额大写：</t>
  </si>
  <si>
    <t>填报说明：1、以上表格不得删减行，可增加行。
                  2、报销部门及成本中心参见基础数据，不得随意增加。
                  3、费用类别选择参见报销大类业务场景说明，不确定事项填报前与财务部沟通。
                  4、打印单据时，请选择横向打印。</t>
  </si>
  <si>
    <t>业务招待费明细表</t>
  </si>
  <si>
    <t>招待日期</t>
  </si>
  <si>
    <t>报销人
（接待人）</t>
  </si>
  <si>
    <t>职务</t>
  </si>
  <si>
    <t>微网同行人</t>
  </si>
  <si>
    <t>被招待人</t>
  </si>
  <si>
    <t>招待地</t>
  </si>
  <si>
    <t>招待类型</t>
  </si>
  <si>
    <t>消费金额</t>
  </si>
  <si>
    <t>人均金额</t>
  </si>
  <si>
    <t>招待事由</t>
  </si>
  <si>
    <t>人数</t>
  </si>
  <si>
    <t>姓名</t>
  </si>
  <si>
    <t>招待单位对象</t>
  </si>
  <si>
    <t>城市</t>
  </si>
  <si>
    <t>合计</t>
  </si>
  <si>
    <t>交通费报销明细表</t>
  </si>
  <si>
    <t>填报日期:2026.4.10</t>
  </si>
  <si>
    <t>填报人：单俊伟</t>
  </si>
  <si>
    <t>日期</t>
  </si>
  <si>
    <t>事由</t>
  </si>
  <si>
    <t>起点-终点</t>
  </si>
  <si>
    <t>合计：</t>
  </si>
  <si>
    <t>填报说明：1、以上表格不得删减行，可增加行。
                  2、报销部门及成本中心参见基础数据，不得随意增加。
                  3、打印单据时，请选择横向打印。</t>
  </si>
  <si>
    <t>差旅费报销单</t>
  </si>
  <si>
    <t>岗位级别</t>
  </si>
  <si>
    <t>城市级别</t>
  </si>
  <si>
    <t>住宿标准</t>
  </si>
  <si>
    <t>餐补标准</t>
  </si>
  <si>
    <t>业务招待扣餐补说明</t>
  </si>
  <si>
    <t>岗位级别：</t>
  </si>
  <si>
    <t>成本中心：</t>
  </si>
  <si>
    <t>出差同行人：</t>
  </si>
  <si>
    <t>出差事由：</t>
  </si>
  <si>
    <t>总监级别</t>
  </si>
  <si>
    <t>一线城市</t>
  </si>
  <si>
    <t>早餐：18元；
午餐/晚餐：36元</t>
  </si>
  <si>
    <t>出差往返日期</t>
  </si>
  <si>
    <t>出差往返地</t>
  </si>
  <si>
    <t>出差补助</t>
  </si>
  <si>
    <t>交通费</t>
  </si>
  <si>
    <t>住宿费</t>
  </si>
  <si>
    <t>餐费招待</t>
  </si>
  <si>
    <t>小计</t>
  </si>
  <si>
    <t>省会及沿海城市</t>
  </si>
  <si>
    <t>开始日期</t>
  </si>
  <si>
    <t>结束日期</t>
  </si>
  <si>
    <t>出发地</t>
  </si>
  <si>
    <t>目的地</t>
  </si>
  <si>
    <t>天数</t>
  </si>
  <si>
    <t>补贴金额</t>
  </si>
  <si>
    <t>机票费</t>
  </si>
  <si>
    <t>车船费</t>
  </si>
  <si>
    <t>其他交通费</t>
  </si>
  <si>
    <t>住宿费用</t>
  </si>
  <si>
    <t>招待餐
（早/中/晚)</t>
  </si>
  <si>
    <t>应扣餐补</t>
  </si>
  <si>
    <t>招待费金额</t>
  </si>
  <si>
    <t>其他城市</t>
  </si>
  <si>
    <t>总监级别以下</t>
  </si>
  <si>
    <t>小计：</t>
  </si>
  <si>
    <t>出差补助小计：</t>
  </si>
  <si>
    <t>交通费小计：</t>
  </si>
  <si>
    <t>住宿费小计：</t>
  </si>
  <si>
    <t>招待费小计：</t>
  </si>
  <si>
    <t>报销总计金额（人民币大写）：</t>
  </si>
  <si>
    <t>填报说明：1、以上表格不得删减行，可增加行。
                  2、报销部门及成本中心参见基础数据，不得随意增加。
                  3、住宿补贴、餐费补贴见右边，报销原则采用实际发生金额与标准金额孰低原则
                  4、以上涉及进项税字眼可暂时不填写，由财务部审核时填写。
                  5、打印单据时，请选择横向打印。</t>
  </si>
  <si>
    <t>出差报告</t>
  </si>
  <si>
    <t>出差起止日期：</t>
  </si>
  <si>
    <t>共计天数：</t>
  </si>
  <si>
    <t>出差人及同行人：</t>
  </si>
  <si>
    <t>拜访对象</t>
  </si>
  <si>
    <t>主要事宜</t>
  </si>
  <si>
    <t>拜访洽谈情况</t>
  </si>
  <si>
    <t>下步计划</t>
  </si>
  <si>
    <t>分类</t>
  </si>
  <si>
    <t>具体范围</t>
  </si>
  <si>
    <t>高管</t>
  </si>
  <si>
    <t>北京、上海、广州和深圳</t>
  </si>
  <si>
    <t>港澳台</t>
  </si>
  <si>
    <t>香港特别行政区</t>
  </si>
  <si>
    <t>澳门特别行政区</t>
  </si>
  <si>
    <t>台湾省会：台北；</t>
  </si>
  <si>
    <t>省会城市</t>
  </si>
  <si>
    <t>天津市：天津；</t>
  </si>
  <si>
    <t>重庆市：重庆；</t>
  </si>
  <si>
    <t>河北省会：石家庄</t>
  </si>
  <si>
    <t>山西省会：太原</t>
  </si>
  <si>
    <t>陕西省会：西安；</t>
  </si>
  <si>
    <t>山东省会：济南；</t>
  </si>
  <si>
    <t>河南省会：郑州；</t>
  </si>
  <si>
    <t>辽宁省会：沈阳；</t>
  </si>
  <si>
    <t>吉林省会：长春；</t>
  </si>
  <si>
    <t>黑龙江省会：哈尔滨；</t>
  </si>
  <si>
    <t>江苏省会：南京；</t>
  </si>
  <si>
    <t>浙江省会：杭州；</t>
  </si>
  <si>
    <t>安徽省会：合肥；</t>
  </si>
  <si>
    <t>江西省会：南昌；</t>
  </si>
  <si>
    <t>福建省会：福州；</t>
  </si>
  <si>
    <t>湖北省会：武汉；</t>
  </si>
  <si>
    <t>湖南省会：长沙；</t>
  </si>
  <si>
    <t>四川省会：成都；</t>
  </si>
  <si>
    <t>贵州省会：贵阳；</t>
  </si>
  <si>
    <t>云南省会：昆明；</t>
  </si>
  <si>
    <t>海南省会：海口；</t>
  </si>
  <si>
    <t>甘肃省会：兰州；</t>
  </si>
  <si>
    <t>青海省会：西宁；</t>
  </si>
  <si>
    <t>内蒙古自治区：呼和浩特；</t>
  </si>
  <si>
    <t>新疆维吾尔自治区：乌鲁木齐；</t>
  </si>
  <si>
    <t>西藏自治区：拉萨；</t>
  </si>
  <si>
    <t>广西壮族自治区：南宁；</t>
  </si>
  <si>
    <t>宁夏回族自治区：银川；</t>
  </si>
  <si>
    <t>沿海城市</t>
  </si>
  <si>
    <t>浙江省：宁波市、温州市;</t>
  </si>
  <si>
    <t>福建省：泉州市、厦门市;</t>
  </si>
  <si>
    <t>广东省：中山市、珠海市、惠州市、东莞市;</t>
  </si>
  <si>
    <t>海南省：三亚市</t>
  </si>
  <si>
    <t>国内其他城市</t>
  </si>
  <si>
    <t>除以上所列的其他均按非省会标准执行</t>
  </si>
  <si>
    <t>部门</t>
  </si>
  <si>
    <t>注：部门及成本中心不允许随意修改，此部分若有新增，及时反馈至财务部，待确认后再更新模板</t>
  </si>
  <si>
    <t>管理部</t>
  </si>
  <si>
    <t>伍壹项目-深圳25000组</t>
  </si>
  <si>
    <t>财务部</t>
  </si>
  <si>
    <t>张飞项目-北京100组</t>
  </si>
  <si>
    <t>项目部</t>
  </si>
  <si>
    <t>光储充项目-比亚迪总部</t>
  </si>
  <si>
    <t>腾势360项目-李朗店</t>
  </si>
  <si>
    <t>通勤车项目-长沙园区</t>
  </si>
  <si>
    <t>鼎骑项目-汕尾</t>
  </si>
  <si>
    <t>光储充项目-海南</t>
  </si>
  <si>
    <t>通勤车项目-坪山周边</t>
  </si>
  <si>
    <t>通勤车项目-抚州园区</t>
  </si>
  <si>
    <t>鼎骑项目-安徽</t>
  </si>
  <si>
    <t>通勤车项目-济南起步园区</t>
  </si>
  <si>
    <t>通勤车项目-葵涌周边</t>
  </si>
  <si>
    <t>公租项目-深圳龙华</t>
  </si>
  <si>
    <t>通勤车项目-北京四季慧谷</t>
  </si>
  <si>
    <t>通勤车项目-合肥城市</t>
  </si>
  <si>
    <t>租车项目-深圳坪山租车</t>
  </si>
  <si>
    <t>充电桩项目-汕头园区</t>
  </si>
  <si>
    <t>通勤车项目-济南高新园区</t>
  </si>
  <si>
    <t>通勤车项目-郑州汽车制造城</t>
  </si>
  <si>
    <t>通勤车项目-大亚湾园区（骑乐）</t>
  </si>
  <si>
    <t>公共项目-开发调研（光储充）</t>
  </si>
  <si>
    <t>国内的光储充开发项目</t>
  </si>
  <si>
    <t>公共项目-仓库待调</t>
  </si>
  <si>
    <t>公共项目-开发调研（两轮车）</t>
  </si>
  <si>
    <t>备注注明某个开发项目</t>
  </si>
  <si>
    <t>腾势360项目-20家门店</t>
  </si>
  <si>
    <t>备注注明某个场站</t>
  </si>
  <si>
    <t>光储充项目-北京四季慧谷</t>
  </si>
  <si>
    <t>光储充项目-储充丰田项目</t>
  </si>
  <si>
    <t>开发调研（光储充海外项目）</t>
  </si>
  <si>
    <t>国外的光储充开发项目</t>
  </si>
  <si>
    <t>租车项目-惠州大亚湾通勤</t>
  </si>
  <si>
    <t>一级大类</t>
  </si>
  <si>
    <t>二级明细</t>
  </si>
  <si>
    <t>/</t>
  </si>
  <si>
    <t>业务场景说明</t>
  </si>
  <si>
    <t>办公费</t>
  </si>
  <si>
    <t>公司资质费</t>
  </si>
  <si>
    <t>公司营业执照、经营资质（如食品经营许可证等）、办公介质（如税控盘）、印鉴（如公章财务专用章法人章）、网站域名注册、商标注册等工本费、代办费、年审费、变更手续费、年费、签证费等</t>
  </si>
  <si>
    <t>饮用水费用</t>
  </si>
  <si>
    <t>办公场地员工饮用水费用</t>
  </si>
  <si>
    <t>场地使用费</t>
  </si>
  <si>
    <t>公司因业务临时租赁使用的场地租赁费</t>
  </si>
  <si>
    <t>办公用品费</t>
  </si>
  <si>
    <t>名片费用、小件办公品，以及传真机、打印机、复印机用色带、墨盒、墨粉、复印纸等</t>
  </si>
  <si>
    <t>搬运杂费</t>
  </si>
  <si>
    <t>公司/部门场地搬迁专业公司/个人服务费</t>
  </si>
  <si>
    <t>企业邮箱费</t>
  </si>
  <si>
    <t>公司邮箱费</t>
  </si>
  <si>
    <t>软件使用费</t>
  </si>
  <si>
    <t>与研究开发无关的且金额较低软件使用费</t>
  </si>
  <si>
    <t>低值易耗品</t>
  </si>
  <si>
    <t>该科目核算未达到固定资产入账标准但期末需盘点的物资，如风扇、U盘、移动硬盘、微波炉等物资</t>
  </si>
  <si>
    <t>快递费</t>
  </si>
  <si>
    <t>邮寄公司资料或物资的快递费、物流费</t>
  </si>
  <si>
    <t>清洁绿化费</t>
  </si>
  <si>
    <t>包括办公区域及经营场所的环境清洁、清洁用品支出以及办公室绿植购买、养护费</t>
  </si>
  <si>
    <t>行政维修费</t>
  </si>
  <si>
    <t>包括各种电器设备、办公设备、办公用房屋及其他办公室物品的修理费</t>
  </si>
  <si>
    <t>其他办公费</t>
  </si>
  <si>
    <t>除以上其他办公费</t>
  </si>
  <si>
    <t>福利费</t>
  </si>
  <si>
    <t>职工福利费</t>
  </si>
  <si>
    <t>员工开工利是、结婚生育礼金、中秋活动费、年终晚会费用、员工生日费用、三八妇女节费用、员工家属节令费、降温取暖费补贴</t>
  </si>
  <si>
    <t>文化活动费</t>
  </si>
  <si>
    <t>员工旅游费用支付或补贴</t>
  </si>
  <si>
    <t>技能提升费</t>
  </si>
  <si>
    <t>员工个人专业/管理技能培训费用申报/补贴，公司组织集体培训及行业行规要求的培训费不在此列支</t>
  </si>
  <si>
    <t>工伤慰问费</t>
  </si>
  <si>
    <t>公司承担的超出社保理赔工伤医药费或与工伤有关的补偿款（含慰问金、奠仪费、药品等）</t>
  </si>
  <si>
    <t>员工体检费</t>
  </si>
  <si>
    <t>员工体检费用申报/补贴</t>
  </si>
  <si>
    <t>差旅费</t>
  </si>
  <si>
    <t>包括出差途中的车票、船票、机票，打的费、滴滴客运费等，自驾车出差路上的油费、过路费、停车费等</t>
  </si>
  <si>
    <t>因公出差发生的住宿费</t>
  </si>
  <si>
    <t>出差补贴</t>
  </si>
  <si>
    <t>出差餐补</t>
  </si>
  <si>
    <t>其他</t>
  </si>
  <si>
    <t>除此以上因公发生的行李托运、退票手续费、改签费等</t>
  </si>
  <si>
    <t>研发费用</t>
  </si>
  <si>
    <t>软件许可费</t>
  </si>
  <si>
    <t>电池license费用</t>
  </si>
  <si>
    <t>E-SIM流量费</t>
  </si>
  <si>
    <t>充电桩、电池等sim卡流量费</t>
  </si>
  <si>
    <t>仪器设备租赁费</t>
  </si>
  <si>
    <t>委托开发费</t>
  </si>
  <si>
    <t>委托具有相应技术开发资质的第三方企业、个人或研发机构研发而产生的费用</t>
  </si>
  <si>
    <t>专利申请代理费及年费</t>
  </si>
  <si>
    <t>设备维护费</t>
  </si>
  <si>
    <t>设备租赁费</t>
  </si>
  <si>
    <t>其他类</t>
  </si>
  <si>
    <t>房租</t>
  </si>
  <si>
    <t>包括办公楼等固定经营场所租赁所支付租金</t>
  </si>
  <si>
    <t>物业管理费</t>
  </si>
  <si>
    <t>包括物业管理费、空调维护费、本体维修基金</t>
  </si>
  <si>
    <t>水费</t>
  </si>
  <si>
    <t>办公场地或生产工厂的能耗：水费</t>
  </si>
  <si>
    <t>电费</t>
  </si>
  <si>
    <t>办公场地或生产工厂的能耗：电费</t>
  </si>
  <si>
    <t>业务招待费</t>
  </si>
  <si>
    <t>因公业务接待外部人员支付的相关费用，包括接待餐费、住宿费、交通费、场地租赁费、娱乐接待费、接待礼品款及其他接待支出</t>
  </si>
  <si>
    <t>通讯费</t>
  </si>
  <si>
    <t>办公场所办公用台式/移动电话机话费、电话初装费、电信费、网络安装费、监控安防等</t>
  </si>
  <si>
    <t>市内交通费</t>
  </si>
  <si>
    <t>员工因公发生的市内打的、滴滴、地铁、公交车等车费</t>
  </si>
  <si>
    <t>会议费</t>
  </si>
  <si>
    <t>公司召集或应邀参加的会议，包括会务费、场地租赁费、场地布置费、会议物资采购、参会人员餐饮费等</t>
  </si>
  <si>
    <t>招聘费</t>
  </si>
  <si>
    <t>委托中介招聘的平台服务费、猎头费或自行招聘产生的招聘人员差旅费、市内交通费、资料费、摊位费、横幅、装饰广告等支出</t>
  </si>
  <si>
    <t>宣传推广费</t>
  </si>
  <si>
    <t>包括公众号等网络宣传、线下地推活动招牌/灯箱广告/水牌/宣传单张/横幅等物料制作、场地布置等（不包括广告费、展销活动费）</t>
  </si>
  <si>
    <t>咨询费</t>
  </si>
  <si>
    <t>包括：尽职调查费、财税咨询费、信息顾问服务费</t>
  </si>
  <si>
    <t>专业劳务费</t>
  </si>
  <si>
    <t>包括：非公司员工的个人与本公司签订劳务合同及公司与劳务派遣公司结算的劳务费用</t>
  </si>
  <si>
    <t>律师服务费</t>
  </si>
  <si>
    <t>包括：支付给律师事务所服务费及律师出庭差旅费</t>
  </si>
  <si>
    <t>诉讼费</t>
  </si>
  <si>
    <t>包括：支付给政府部门的诉讼费、仲裁费、财产保全费及判决书需承担的诉讼费、仲裁费</t>
  </si>
  <si>
    <t>审计费</t>
  </si>
  <si>
    <t>验资审计、增资审计、工商年审审计、年度所得税汇算清缴审计（含会计事务所现场审计费用）</t>
  </si>
  <si>
    <t>离职补偿金</t>
  </si>
  <si>
    <t>因与员工解除劳动合同所给予的补偿</t>
  </si>
  <si>
    <t>残疾人就业保障金</t>
  </si>
  <si>
    <t>服务费</t>
  </si>
  <si>
    <t>指对非本公司员工，通过第三方公司结算支付的人力资源服务费</t>
  </si>
  <si>
    <t>资产维修费</t>
  </si>
  <si>
    <t>不构成固定资产入账标准的固定资产维修费，是电池、电柜、两轮电动车等资产维修所需的工具费用</t>
  </si>
  <si>
    <t>保险费</t>
  </si>
  <si>
    <t>公司资产或特殊的专项保险费用投入，包括公司车辆、设备、物资等财产保险费用、及其他保险费用</t>
  </si>
  <si>
    <t>技术服务费</t>
  </si>
  <si>
    <t>与研发项目无关的软件测试服务和硬件测试服务</t>
  </si>
  <si>
    <t>运输费用</t>
  </si>
  <si>
    <t>因业务需求产生的设备、资产、产品等运输费用</t>
  </si>
  <si>
    <t>仓储费</t>
  </si>
  <si>
    <t>包括因存放公司资产所发生的仓库使用费</t>
  </si>
  <si>
    <t>固定资产</t>
  </si>
  <si>
    <t>包括个人购买公司固定资产费用</t>
  </si>
  <si>
    <t>场地施工改造费</t>
  </si>
  <si>
    <t>配件物料费</t>
  </si>
  <si>
    <t>电池、电柜、两轮电动车等资产的替换零配件费用</t>
  </si>
  <si>
    <t>电柜安装费</t>
  </si>
  <si>
    <t>场站设施</t>
  </si>
  <si>
    <t>储充场站建设配套设施</t>
  </si>
  <si>
    <t>回收电池电柜费</t>
  </si>
  <si>
    <t>回收伍壹电池电柜发生的非经营性支出</t>
  </si>
  <si>
    <t>平台短信验证费</t>
  </si>
  <si>
    <t>实名认证费</t>
  </si>
  <si>
    <t>实名认证及快捷登录费用</t>
  </si>
  <si>
    <t>平台维护服务费</t>
  </si>
  <si>
    <t>车辆维护费用</t>
  </si>
  <si>
    <t>手续费</t>
  </si>
  <si>
    <t>第三方平台收取的提现手续费</t>
  </si>
  <si>
    <t>设计费</t>
  </si>
  <si>
    <t>图纸设计费用</t>
  </si>
  <si>
    <t>物联卡流量费</t>
  </si>
  <si>
    <t>电柜物联卡流量费</t>
  </si>
  <si>
    <t>SIM卡流量费</t>
  </si>
  <si>
    <t>车辆中控SIM卡流量费</t>
  </si>
  <si>
    <t>检测费</t>
  </si>
  <si>
    <t>聘请中介机构做电池检测费用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</si>
</sst>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0"/>
  </numFmts>
  <fonts count="44">
    <font>
      <sz val="11"/>
      <color theme="1"/>
      <name val="等线"/>
      <charset val="134"/>
      <scheme val="minor"/>
    </font>
    <font>
      <sz val="9"/>
      <color theme="1"/>
      <name val="微软雅黑"/>
      <charset val="134"/>
    </font>
    <font>
      <b/>
      <sz val="9"/>
      <color theme="0"/>
      <name val="微软雅黑"/>
      <charset val="134"/>
    </font>
    <font>
      <b/>
      <sz val="9"/>
      <color theme="1"/>
      <name val="微软雅黑"/>
      <charset val="134"/>
    </font>
    <font>
      <b/>
      <sz val="9"/>
      <color rgb="FFFF0000"/>
      <name val="微软雅黑"/>
      <charset val="134"/>
    </font>
    <font>
      <sz val="9"/>
      <color theme="1"/>
      <name val="等线"/>
      <charset val="134"/>
      <scheme val="minor"/>
    </font>
    <font>
      <sz val="9"/>
      <color rgb="FF333333"/>
      <name val="微软雅黑"/>
      <charset val="134"/>
    </font>
    <font>
      <b/>
      <sz val="18"/>
      <color theme="1"/>
      <name val="等线"/>
      <charset val="134"/>
      <scheme val="minor"/>
    </font>
    <font>
      <b/>
      <sz val="11"/>
      <color theme="1"/>
      <name val="等线"/>
      <charset val="134"/>
      <scheme val="minor"/>
    </font>
    <font>
      <sz val="11"/>
      <color rgb="FFFF0000"/>
      <name val="等线"/>
      <charset val="134"/>
      <scheme val="minor"/>
    </font>
    <font>
      <sz val="10"/>
      <color theme="1"/>
      <name val="微软雅黑"/>
      <charset val="134"/>
    </font>
    <font>
      <sz val="10"/>
      <color rgb="FF000000"/>
      <name val="微软雅黑"/>
      <charset val="134"/>
    </font>
    <font>
      <sz val="12"/>
      <color rgb="FF000000"/>
      <name val="微软雅黑"/>
      <charset val="134"/>
    </font>
    <font>
      <sz val="12"/>
      <color rgb="FF00A1FF"/>
      <name val="微软雅黑"/>
      <charset val="134"/>
    </font>
    <font>
      <b/>
      <sz val="16"/>
      <name val="微软雅黑"/>
      <charset val="134"/>
    </font>
    <font>
      <b/>
      <sz val="10"/>
      <name val="微软雅黑"/>
      <charset val="134"/>
    </font>
    <font>
      <b/>
      <sz val="10"/>
      <color rgb="FF000000"/>
      <name val="微软雅黑"/>
      <charset val="134"/>
    </font>
    <font>
      <sz val="12"/>
      <color rgb="FFFF0000"/>
      <name val="微软雅黑"/>
      <charset val="134"/>
    </font>
    <font>
      <sz val="1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Arial"/>
      <charset val="134"/>
    </font>
    <font>
      <sz val="16"/>
      <name val="微软雅黑"/>
      <charset val="134"/>
    </font>
    <font>
      <sz val="9"/>
      <name val="宋体"/>
      <charset val="134"/>
    </font>
    <font>
      <b/>
      <sz val="9"/>
      <name val="宋体"/>
      <charset val="134"/>
    </font>
    <font>
      <b/>
      <sz val="9"/>
      <color rgb="FF000000"/>
      <name val="宋体"/>
      <charset val="134"/>
    </font>
    <font>
      <sz val="9"/>
      <color rgb="FF000000"/>
      <name val="宋体"/>
      <charset val="134"/>
    </font>
  </fonts>
  <fills count="37">
    <fill>
      <patternFill patternType="none"/>
    </fill>
    <fill>
      <patternFill patternType="gray125"/>
    </fill>
    <fill>
      <patternFill patternType="solid">
        <fgColor rgb="FF000099"/>
        <bgColor indexed="64"/>
      </patternFill>
    </fill>
    <fill>
      <patternFill patternType="solid">
        <fgColor rgb="FFFFFF00"/>
        <bgColor indexed="64"/>
      </patternFill>
    </fill>
    <fill>
      <patternFill patternType="solid">
        <fgColor theme="2"/>
        <bgColor indexed="64"/>
      </patternFill>
    </fill>
    <fill>
      <patternFill patternType="solid">
        <fgColor rgb="FFE4F7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6" borderId="2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6" applyNumberFormat="0" applyFill="0" applyAlignment="0" applyProtection="0">
      <alignment vertical="center"/>
    </xf>
    <xf numFmtId="0" fontId="25" fillId="0" borderId="26" applyNumberFormat="0" applyFill="0" applyAlignment="0" applyProtection="0">
      <alignment vertical="center"/>
    </xf>
    <xf numFmtId="0" fontId="26" fillId="0" borderId="27" applyNumberFormat="0" applyFill="0" applyAlignment="0" applyProtection="0">
      <alignment vertical="center"/>
    </xf>
    <xf numFmtId="0" fontId="26" fillId="0" borderId="0" applyNumberFormat="0" applyFill="0" applyBorder="0" applyAlignment="0" applyProtection="0">
      <alignment vertical="center"/>
    </xf>
    <xf numFmtId="0" fontId="27" fillId="7" borderId="28" applyNumberFormat="0" applyAlignment="0" applyProtection="0">
      <alignment vertical="center"/>
    </xf>
    <xf numFmtId="0" fontId="28" fillId="8" borderId="29" applyNumberFormat="0" applyAlignment="0" applyProtection="0">
      <alignment vertical="center"/>
    </xf>
    <xf numFmtId="0" fontId="29" fillId="8" borderId="28" applyNumberFormat="0" applyAlignment="0" applyProtection="0">
      <alignment vertical="center"/>
    </xf>
    <xf numFmtId="0" fontId="30" fillId="9" borderId="30" applyNumberFormat="0" applyAlignment="0" applyProtection="0">
      <alignment vertical="center"/>
    </xf>
    <xf numFmtId="0" fontId="31" fillId="0" borderId="31" applyNumberFormat="0" applyFill="0" applyAlignment="0" applyProtection="0">
      <alignment vertical="center"/>
    </xf>
    <xf numFmtId="0" fontId="32" fillId="0" borderId="32" applyNumberFormat="0" applyFill="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0" fillId="0" borderId="0"/>
    <xf numFmtId="0" fontId="38" fillId="0" borderId="0"/>
    <xf numFmtId="43" fontId="38" fillId="0" borderId="0" applyFont="0" applyFill="0" applyBorder="0" applyAlignment="0" applyProtection="0">
      <alignment vertical="center"/>
    </xf>
  </cellStyleXfs>
  <cellXfs count="125">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0" xfId="0" applyFont="1" applyFill="1" applyBorder="1" applyAlignment="1">
      <alignment vertical="center"/>
    </xf>
    <xf numFmtId="0" fontId="2" fillId="2" borderId="0"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vertical="center"/>
    </xf>
    <xf numFmtId="0" fontId="1" fillId="0" borderId="0" xfId="0" applyFont="1"/>
    <xf numFmtId="43" fontId="1" fillId="0" borderId="0" xfId="1" applyFont="1" applyFill="1" applyAlignment="1"/>
    <xf numFmtId="0" fontId="5" fillId="0" borderId="0" xfId="0" applyFont="1"/>
    <xf numFmtId="0" fontId="1" fillId="0" borderId="0" xfId="0" applyFont="1" applyAlignment="1">
      <alignment horizontal="center"/>
    </xf>
    <xf numFmtId="43" fontId="1" fillId="0" borderId="0" xfId="1" applyFont="1" applyFill="1" applyAlignment="1">
      <alignment horizontal="center"/>
    </xf>
    <xf numFmtId="0" fontId="6" fillId="0" borderId="0" xfId="0" applyFont="1"/>
    <xf numFmtId="0" fontId="0" fillId="0" borderId="0" xfId="0" applyAlignment="1">
      <alignment vertical="center"/>
    </xf>
    <xf numFmtId="0" fontId="7" fillId="0" borderId="0" xfId="0" applyFont="1" applyAlignment="1">
      <alignment horizontal="center" vertic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0" fillId="0" borderId="2" xfId="0" applyBorder="1" applyAlignment="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0" fillId="0" borderId="2" xfId="0" applyBorder="1" applyAlignment="1">
      <alignment horizontal="center" vertical="center"/>
    </xf>
    <xf numFmtId="0" fontId="0" fillId="0" borderId="3" xfId="0" applyFont="1" applyBorder="1" applyAlignment="1">
      <alignment horizontal="left" vertical="center" wrapText="1"/>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2" xfId="0" applyFont="1" applyBorder="1" applyAlignment="1">
      <alignment horizontal="center" vertical="center"/>
    </xf>
    <xf numFmtId="0" fontId="8" fillId="0" borderId="2" xfId="0" applyFont="1" applyBorder="1" applyAlignment="1">
      <alignment vertical="center"/>
    </xf>
    <xf numFmtId="0" fontId="8" fillId="0" borderId="2" xfId="0" applyFont="1" applyBorder="1" applyAlignment="1">
      <alignment vertical="center" wrapText="1"/>
    </xf>
    <xf numFmtId="0" fontId="8" fillId="0" borderId="4" xfId="0" applyFont="1" applyBorder="1" applyAlignment="1">
      <alignment vertical="center"/>
    </xf>
    <xf numFmtId="0" fontId="8" fillId="0" borderId="5" xfId="0" applyFont="1" applyBorder="1" applyAlignment="1">
      <alignment vertical="center"/>
    </xf>
    <xf numFmtId="0" fontId="8" fillId="0" borderId="2" xfId="0" applyFont="1" applyBorder="1" applyAlignment="1">
      <alignment horizontal="right" vertical="center"/>
    </xf>
    <xf numFmtId="0" fontId="8" fillId="0" borderId="4" xfId="0" applyFont="1" applyBorder="1" applyAlignment="1">
      <alignment horizontal="right" vertical="center"/>
    </xf>
    <xf numFmtId="0" fontId="0" fillId="0" borderId="0" xfId="0" applyAlignment="1">
      <alignment vertical="center" wrapText="1"/>
    </xf>
    <xf numFmtId="0" fontId="0" fillId="0" borderId="2" xfId="0" applyFont="1" applyBorder="1" applyAlignment="1">
      <alignmen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4" xfId="0" applyFont="1" applyBorder="1" applyAlignment="1">
      <alignment horizontal="left" vertical="center" wrapText="1"/>
    </xf>
    <xf numFmtId="43" fontId="8" fillId="3" borderId="2" xfId="1" applyFont="1" applyFill="1" applyBorder="1" applyAlignment="1">
      <alignment horizontal="right" vertical="center"/>
    </xf>
    <xf numFmtId="43" fontId="8" fillId="0" borderId="2" xfId="1" applyFont="1" applyBorder="1" applyAlignment="1">
      <alignment horizontal="right" vertical="center"/>
    </xf>
    <xf numFmtId="0" fontId="8" fillId="0" borderId="4" xfId="0" applyFont="1" applyBorder="1" applyAlignment="1">
      <alignment horizontal="center" vertical="center" wrapText="1"/>
    </xf>
    <xf numFmtId="0" fontId="8" fillId="0" borderId="7" xfId="0" applyFont="1" applyBorder="1" applyAlignment="1">
      <alignment horizontal="center" vertical="center"/>
    </xf>
    <xf numFmtId="0" fontId="8" fillId="0" borderId="8" xfId="0" applyFont="1" applyBorder="1" applyAlignment="1">
      <alignment horizontal="left" vertical="center" wrapText="1"/>
    </xf>
    <xf numFmtId="0" fontId="8" fillId="0" borderId="8" xfId="0" applyFont="1" applyBorder="1" applyAlignment="1">
      <alignment horizontal="center" vertical="center" wrapText="1"/>
    </xf>
    <xf numFmtId="0" fontId="8" fillId="0" borderId="2" xfId="0" applyFont="1" applyBorder="1" applyAlignment="1">
      <alignment horizontal="center" vertical="center" wrapText="1"/>
    </xf>
    <xf numFmtId="0" fontId="8" fillId="0" borderId="9" xfId="0" applyFont="1" applyBorder="1" applyAlignment="1">
      <alignment horizontal="left" vertical="center" wrapText="1"/>
    </xf>
    <xf numFmtId="14" fontId="0" fillId="0" borderId="2" xfId="0" applyNumberFormat="1" applyBorder="1" applyAlignment="1">
      <alignment vertical="center"/>
    </xf>
    <xf numFmtId="43" fontId="0" fillId="0" borderId="2" xfId="1" applyFont="1" applyBorder="1" applyAlignment="1">
      <alignment vertical="center"/>
    </xf>
    <xf numFmtId="43" fontId="0" fillId="0" borderId="2" xfId="0" applyNumberFormat="1" applyBorder="1" applyAlignment="1">
      <alignment vertical="center"/>
    </xf>
    <xf numFmtId="43" fontId="8" fillId="0" borderId="2" xfId="1" applyFont="1" applyFill="1" applyBorder="1" applyAlignment="1">
      <alignment horizontal="right" vertical="center"/>
    </xf>
    <xf numFmtId="0" fontId="8" fillId="0" borderId="9" xfId="0" applyFont="1" applyBorder="1" applyAlignment="1">
      <alignment horizontal="center" vertical="center" wrapText="1"/>
    </xf>
    <xf numFmtId="43" fontId="0" fillId="0" borderId="0" xfId="0" applyNumberFormat="1" applyAlignment="1">
      <alignment vertical="center"/>
    </xf>
    <xf numFmtId="0" fontId="8" fillId="0" borderId="5" xfId="0" applyFont="1" applyBorder="1" applyAlignment="1">
      <alignment horizontal="right" vertical="center"/>
    </xf>
    <xf numFmtId="0" fontId="8" fillId="0" borderId="10" xfId="0" applyFont="1" applyBorder="1" applyAlignment="1">
      <alignment horizontal="right" vertical="center"/>
    </xf>
    <xf numFmtId="0" fontId="8" fillId="0" borderId="11" xfId="0" applyFont="1" applyBorder="1" applyAlignment="1">
      <alignment horizontal="right" vertical="center"/>
    </xf>
    <xf numFmtId="0" fontId="8" fillId="0" borderId="12" xfId="0" applyFont="1" applyBorder="1" applyAlignment="1">
      <alignment horizontal="right" vertical="center"/>
    </xf>
    <xf numFmtId="0" fontId="8" fillId="0" borderId="1" xfId="0" applyFont="1" applyBorder="1" applyAlignment="1">
      <alignment horizontal="right" vertical="center"/>
    </xf>
    <xf numFmtId="0" fontId="8" fillId="0" borderId="13" xfId="0" applyFont="1" applyBorder="1" applyAlignment="1">
      <alignment horizontal="right" vertical="center"/>
    </xf>
    <xf numFmtId="43" fontId="8" fillId="0" borderId="2" xfId="1" applyFont="1" applyBorder="1" applyAlignment="1">
      <alignment vertical="center"/>
    </xf>
    <xf numFmtId="43" fontId="8" fillId="0" borderId="2" xfId="1" applyFont="1" applyBorder="1" applyAlignment="1">
      <alignment horizontal="center" vertical="center"/>
    </xf>
    <xf numFmtId="43" fontId="8" fillId="0" borderId="3" xfId="1" applyFont="1" applyBorder="1" applyAlignment="1">
      <alignment horizontal="right" vertical="center"/>
    </xf>
    <xf numFmtId="43" fontId="8" fillId="0" borderId="7" xfId="1" applyFont="1" applyBorder="1" applyAlignment="1">
      <alignment horizontal="right" vertical="center"/>
    </xf>
    <xf numFmtId="0" fontId="9" fillId="0" borderId="0" xfId="0" applyFont="1" applyAlignment="1">
      <alignment horizontal="left" vertical="center" wrapText="1"/>
    </xf>
    <xf numFmtId="0" fontId="8" fillId="0" borderId="1" xfId="0" applyFont="1" applyBorder="1" applyAlignment="1">
      <alignment vertical="center"/>
    </xf>
    <xf numFmtId="0" fontId="0" fillId="0" borderId="2" xfId="0" applyFill="1" applyBorder="1" applyAlignment="1">
      <alignment vertical="center"/>
    </xf>
    <xf numFmtId="43" fontId="0" fillId="0" borderId="3" xfId="1" applyFont="1" applyBorder="1" applyAlignment="1">
      <alignment vertical="center"/>
    </xf>
    <xf numFmtId="0" fontId="8" fillId="0" borderId="5" xfId="0" applyFont="1" applyBorder="1" applyAlignment="1">
      <alignment vertical="center" wrapText="1"/>
    </xf>
    <xf numFmtId="0" fontId="8" fillId="0" borderId="11" xfId="0" applyFont="1" applyBorder="1" applyAlignment="1">
      <alignment vertical="center"/>
    </xf>
    <xf numFmtId="0" fontId="8" fillId="0" borderId="14" xfId="0" applyFont="1" applyBorder="1" applyAlignment="1">
      <alignment vertical="center"/>
    </xf>
    <xf numFmtId="0" fontId="8" fillId="0" borderId="15"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vertical="center"/>
    </xf>
    <xf numFmtId="0" fontId="9" fillId="0" borderId="10" xfId="0" applyFont="1" applyBorder="1" applyAlignment="1">
      <alignment horizontal="left" vertical="center" wrapText="1"/>
    </xf>
    <xf numFmtId="0" fontId="9" fillId="0" borderId="10" xfId="0" applyFont="1" applyBorder="1" applyAlignment="1">
      <alignment vertical="center" wrapText="1"/>
    </xf>
    <xf numFmtId="0" fontId="9" fillId="0" borderId="0" xfId="0" applyFont="1" applyAlignment="1">
      <alignment vertical="center" wrapText="1"/>
    </xf>
    <xf numFmtId="0" fontId="0" fillId="0" borderId="0" xfId="49"/>
    <xf numFmtId="0" fontId="7" fillId="0" borderId="1" xfId="49" applyFont="1" applyBorder="1" applyAlignment="1">
      <alignment horizontal="center" vertical="center"/>
    </xf>
    <xf numFmtId="0" fontId="10" fillId="0" borderId="2" xfId="49" applyFont="1" applyBorder="1" applyAlignment="1">
      <alignment horizontal="center" vertical="center" wrapText="1"/>
    </xf>
    <xf numFmtId="0" fontId="10" fillId="0" borderId="2" xfId="49" applyFont="1" applyBorder="1" applyAlignment="1">
      <alignment horizontal="center" vertical="center"/>
    </xf>
    <xf numFmtId="0" fontId="10" fillId="0" borderId="4" xfId="49" applyFont="1" applyBorder="1" applyAlignment="1">
      <alignment horizontal="center" vertical="center"/>
    </xf>
    <xf numFmtId="0" fontId="10" fillId="0" borderId="3" xfId="49" applyFont="1" applyBorder="1" applyAlignment="1">
      <alignment horizontal="center" vertical="center"/>
    </xf>
    <xf numFmtId="0" fontId="10" fillId="0" borderId="6" xfId="49" applyFont="1" applyBorder="1" applyAlignment="1">
      <alignment horizontal="center" vertical="center"/>
    </xf>
    <xf numFmtId="0" fontId="10" fillId="0" borderId="7" xfId="49" applyFont="1" applyBorder="1" applyAlignment="1">
      <alignment horizontal="center" vertical="center"/>
    </xf>
    <xf numFmtId="0" fontId="10" fillId="4" borderId="2" xfId="49" applyFont="1" applyFill="1" applyBorder="1" applyAlignment="1">
      <alignment horizontal="center" vertical="center"/>
    </xf>
    <xf numFmtId="0" fontId="10" fillId="0" borderId="9" xfId="49" applyFont="1" applyBorder="1" applyAlignment="1">
      <alignment horizontal="center" vertical="center"/>
    </xf>
    <xf numFmtId="14" fontId="10" fillId="0" borderId="2" xfId="49" applyNumberFormat="1" applyFont="1" applyBorder="1" applyAlignment="1">
      <alignment horizontal="center" vertical="center" wrapText="1"/>
    </xf>
    <xf numFmtId="0" fontId="11" fillId="0" borderId="2" xfId="49" applyFont="1" applyBorder="1" applyAlignment="1">
      <alignment horizontal="center" vertical="center" wrapText="1"/>
    </xf>
    <xf numFmtId="0" fontId="0" fillId="0" borderId="2" xfId="0" applyFont="1" applyBorder="1" applyAlignment="1">
      <alignment vertical="center" wrapText="1"/>
    </xf>
    <xf numFmtId="43" fontId="11" fillId="0" borderId="2" xfId="1" applyFont="1" applyBorder="1" applyAlignment="1">
      <alignment horizontal="center" vertical="center" wrapText="1"/>
    </xf>
    <xf numFmtId="0" fontId="11" fillId="0" borderId="2" xfId="49" applyFont="1" applyBorder="1" applyAlignment="1">
      <alignment horizontal="center" vertical="center"/>
    </xf>
    <xf numFmtId="43" fontId="11" fillId="0" borderId="2" xfId="1" applyFont="1" applyBorder="1" applyAlignment="1">
      <alignment horizontal="center" vertical="center"/>
    </xf>
    <xf numFmtId="2" fontId="10" fillId="0" borderId="2" xfId="49" applyNumberFormat="1" applyFont="1" applyBorder="1" applyAlignment="1">
      <alignment horizontal="center" vertical="center" wrapText="1"/>
    </xf>
    <xf numFmtId="14" fontId="10" fillId="0" borderId="2" xfId="49" applyNumberFormat="1" applyFont="1" applyFill="1" applyBorder="1" applyAlignment="1">
      <alignment horizontal="center" vertical="center" wrapText="1"/>
    </xf>
    <xf numFmtId="14" fontId="0" fillId="0" borderId="2" xfId="0" applyNumberFormat="1" applyFont="1" applyBorder="1" applyAlignment="1">
      <alignment vertical="center"/>
    </xf>
    <xf numFmtId="0" fontId="0" fillId="0" borderId="2" xfId="0" applyFont="1" applyBorder="1" applyAlignment="1">
      <alignment horizontal="left" vertical="center" wrapText="1"/>
    </xf>
    <xf numFmtId="0" fontId="0" fillId="0" borderId="2" xfId="0" applyBorder="1" applyAlignment="1">
      <alignment horizontal="left" vertical="center"/>
    </xf>
    <xf numFmtId="0" fontId="8" fillId="0" borderId="6" xfId="0" applyFont="1" applyBorder="1" applyAlignment="1">
      <alignment horizontal="center" vertical="center"/>
    </xf>
    <xf numFmtId="0" fontId="0" fillId="0" borderId="3"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2" xfId="0" applyBorder="1" applyAlignment="1">
      <alignment vertical="center" wrapText="1"/>
    </xf>
    <xf numFmtId="0" fontId="12" fillId="0" borderId="0" xfId="50" applyFont="1" applyAlignment="1">
      <alignment horizontal="left" vertical="center" wrapText="1"/>
    </xf>
    <xf numFmtId="0" fontId="13" fillId="5" borderId="0" xfId="50" applyFont="1" applyFill="1" applyAlignment="1">
      <alignment horizontal="center" vertical="center" textRotation="255" wrapText="1"/>
    </xf>
    <xf numFmtId="0" fontId="14" fillId="0" borderId="0" xfId="50" applyFont="1" applyAlignment="1">
      <alignment horizontal="center" vertical="center" wrapText="1"/>
    </xf>
    <xf numFmtId="0" fontId="12" fillId="5" borderId="0" xfId="50" applyFont="1" applyFill="1" applyAlignment="1">
      <alignment horizontal="left" vertical="center" textRotation="255" wrapText="1"/>
    </xf>
    <xf numFmtId="0" fontId="15" fillId="0" borderId="0" xfId="50" applyFont="1" applyAlignment="1">
      <alignment horizontal="left" vertical="center" wrapText="1"/>
    </xf>
    <xf numFmtId="0" fontId="16" fillId="0" borderId="0" xfId="50" applyFont="1" applyAlignment="1">
      <alignment horizontal="left" vertical="center" wrapText="1"/>
    </xf>
    <xf numFmtId="0" fontId="17" fillId="0" borderId="0" xfId="50" applyFont="1" applyAlignment="1">
      <alignment horizontal="left" vertical="center" wrapText="1"/>
    </xf>
    <xf numFmtId="0" fontId="15" fillId="0" borderId="16" xfId="50" applyFont="1" applyBorder="1" applyAlignment="1">
      <alignment horizontal="center" vertical="center" wrapText="1"/>
    </xf>
    <xf numFmtId="0" fontId="15" fillId="0" borderId="16" xfId="50" applyFont="1" applyBorder="1" applyAlignment="1">
      <alignment horizontal="left" vertical="center" wrapText="1"/>
    </xf>
    <xf numFmtId="0" fontId="15" fillId="0" borderId="16" xfId="50" applyFont="1" applyBorder="1" applyAlignment="1">
      <alignment horizontal="center" vertical="top" wrapText="1"/>
    </xf>
    <xf numFmtId="49" fontId="15" fillId="0" borderId="16" xfId="50" applyNumberFormat="1" applyFont="1" applyBorder="1" applyAlignment="1">
      <alignment horizontal="left" vertical="center" wrapText="1"/>
    </xf>
    <xf numFmtId="0" fontId="15" fillId="0" borderId="17" xfId="50" applyFont="1" applyBorder="1" applyAlignment="1">
      <alignment horizontal="center" vertical="center" wrapText="1"/>
    </xf>
    <xf numFmtId="0" fontId="15" fillId="0" borderId="18" xfId="50" applyFont="1" applyBorder="1" applyAlignment="1">
      <alignment horizontal="left" vertical="center" wrapText="1"/>
    </xf>
    <xf numFmtId="0" fontId="15" fillId="0" borderId="19" xfId="50" applyFont="1" applyBorder="1" applyAlignment="1">
      <alignment horizontal="left" vertical="center" wrapText="1"/>
    </xf>
    <xf numFmtId="0" fontId="15" fillId="0" borderId="20" xfId="50" applyFont="1" applyBorder="1" applyAlignment="1">
      <alignment horizontal="left" vertical="center" wrapText="1"/>
    </xf>
    <xf numFmtId="0" fontId="15" fillId="0" borderId="2" xfId="50" applyFont="1" applyBorder="1" applyAlignment="1">
      <alignment vertical="center" wrapText="1"/>
    </xf>
    <xf numFmtId="176" fontId="15" fillId="0" borderId="2" xfId="50" applyNumberFormat="1" applyFont="1" applyBorder="1" applyAlignment="1">
      <alignment horizontal="center" vertical="distributed" wrapText="1"/>
    </xf>
    <xf numFmtId="177" fontId="15" fillId="0" borderId="2" xfId="51" applyNumberFormat="1" applyFont="1" applyFill="1" applyBorder="1" applyAlignment="1">
      <alignment horizontal="center" vertical="center" wrapText="1"/>
    </xf>
    <xf numFmtId="0" fontId="15" fillId="0" borderId="21" xfId="50" applyFont="1" applyBorder="1" applyAlignment="1">
      <alignment horizontal="center" vertical="top" wrapText="1"/>
    </xf>
    <xf numFmtId="0" fontId="15" fillId="0" borderId="22" xfId="50" applyFont="1" applyBorder="1" applyAlignment="1">
      <alignment horizontal="center" vertical="center" wrapText="1"/>
    </xf>
    <xf numFmtId="0" fontId="15" fillId="0" borderId="23" xfId="50" applyFont="1" applyBorder="1" applyAlignment="1">
      <alignment horizontal="center" vertical="center" wrapText="1"/>
    </xf>
    <xf numFmtId="0" fontId="18" fillId="0" borderId="16" xfId="50" applyFont="1" applyBorder="1" applyAlignment="1">
      <alignment horizontal="left" vertical="center" wrapText="1"/>
    </xf>
    <xf numFmtId="0" fontId="18" fillId="0" borderId="24" xfId="50" applyFont="1" applyBorder="1" applyAlignment="1">
      <alignment horizontal="center" vertical="center" wrapText="1"/>
    </xf>
    <xf numFmtId="0" fontId="18" fillId="0" borderId="21" xfId="50" applyFont="1" applyBorder="1" applyAlignment="1">
      <alignment horizontal="center" vertical="center" wrapText="1"/>
    </xf>
    <xf numFmtId="0" fontId="18" fillId="0" borderId="16" xfId="50" applyFont="1" applyBorder="1" applyAlignment="1">
      <alignment vertical="center" wrapText="1"/>
    </xf>
    <xf numFmtId="0" fontId="18" fillId="0" borderId="16" xfId="50" applyFont="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千位分隔 2" xfId="5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9"/>
  <sheetViews>
    <sheetView workbookViewId="0">
      <selection activeCell="M6" sqref="M6"/>
    </sheetView>
  </sheetViews>
  <sheetFormatPr defaultColWidth="10" defaultRowHeight="17.4"/>
  <cols>
    <col min="1" max="1" width="6.77777777777778" style="99" customWidth="1"/>
    <col min="2" max="2" width="14" style="99" customWidth="1"/>
    <col min="3" max="3" width="14.7777777777778" style="99" customWidth="1"/>
    <col min="4" max="4" width="8.77777777777778" style="99" customWidth="1"/>
    <col min="5" max="5" width="12.5555555555556" style="99" customWidth="1"/>
    <col min="6" max="6" width="23.3333333333333" style="99" customWidth="1"/>
    <col min="7" max="7" width="15.8796296296296" style="99" customWidth="1"/>
    <col min="8" max="8" width="21.8796296296296" style="99" customWidth="1"/>
    <col min="9" max="9" width="23" style="99" customWidth="1"/>
    <col min="10" max="10" width="15.3333333333333" style="99" customWidth="1"/>
    <col min="11" max="16384" width="10" style="99"/>
  </cols>
  <sheetData>
    <row r="1" ht="54.9" customHeight="1" spans="1:10">
      <c r="A1" s="100"/>
      <c r="B1" s="101" t="s">
        <v>0</v>
      </c>
      <c r="C1" s="101"/>
      <c r="D1" s="101"/>
      <c r="E1" s="101"/>
      <c r="F1" s="101"/>
      <c r="G1" s="101"/>
      <c r="H1" s="101"/>
      <c r="I1" s="101"/>
    </row>
    <row r="2" ht="30" customHeight="1" spans="1:10">
      <c r="A2" s="102"/>
      <c r="B2" s="103" t="s">
        <v>1</v>
      </c>
      <c r="C2" s="104"/>
      <c r="D2" s="104"/>
      <c r="E2" s="104"/>
      <c r="F2" s="104"/>
      <c r="G2" s="104"/>
      <c r="H2" s="104"/>
      <c r="I2" s="104"/>
      <c r="J2" s="105"/>
    </row>
    <row r="3" ht="33.6" customHeight="1" spans="1:10">
      <c r="A3" s="102"/>
      <c r="B3" s="106" t="s">
        <v>2</v>
      </c>
      <c r="C3" s="107"/>
      <c r="D3" s="107"/>
      <c r="E3" s="107"/>
      <c r="F3" s="107"/>
      <c r="G3" s="107"/>
      <c r="H3" s="108" t="s">
        <v>3</v>
      </c>
      <c r="I3" s="108"/>
    </row>
    <row r="4" ht="31.05" customHeight="1" spans="1:10">
      <c r="A4" s="102"/>
      <c r="B4" s="106" t="s">
        <v>4</v>
      </c>
      <c r="C4" s="109"/>
      <c r="D4" s="109"/>
      <c r="E4" s="109"/>
      <c r="F4" s="109"/>
      <c r="G4" s="109"/>
      <c r="H4" s="108"/>
      <c r="I4" s="108"/>
    </row>
    <row r="5" ht="31.05" customHeight="1" spans="1:10">
      <c r="A5" s="102"/>
      <c r="B5" s="106" t="s">
        <v>5</v>
      </c>
      <c r="C5" s="107"/>
      <c r="D5" s="107"/>
      <c r="E5" s="107"/>
      <c r="F5" s="107"/>
      <c r="G5" s="107"/>
      <c r="H5" s="108"/>
      <c r="I5" s="108"/>
    </row>
    <row r="6" ht="30.6" customHeight="1" spans="1:10">
      <c r="A6" s="102"/>
      <c r="B6" s="110" t="s">
        <v>6</v>
      </c>
      <c r="C6" s="111" t="str">
        <f>"人民币大写:"&amp;IF(MOD(G7,1)=0,TEXT(INT(G7),"[DBNUM2]")&amp;"元"&amp;"整",TEXT(INT(G7),"[DBNUM2]")&amp;"元"&amp;TEXT(MID(G7,LEN(INT(G7))+2,1),"[DBNUM2]D角")&amp;TEXT(MID(G7,LEN(INT(G7))+3,1),"[DBNUM2]D分"))</f>
        <v>人民币大写:零元整</v>
      </c>
      <c r="D6" s="112"/>
      <c r="E6" s="112"/>
      <c r="F6" s="112"/>
      <c r="G6" s="113"/>
      <c r="H6" s="108"/>
      <c r="I6" s="108"/>
    </row>
    <row r="7" ht="31.5" customHeight="1" spans="1:10">
      <c r="A7" s="102"/>
      <c r="B7" s="114" t="s">
        <v>7</v>
      </c>
      <c r="C7" s="114"/>
      <c r="D7" s="115" t="s">
        <v>8</v>
      </c>
      <c r="E7" s="115"/>
      <c r="F7" s="115"/>
      <c r="G7" s="116"/>
      <c r="H7" s="117"/>
      <c r="I7" s="108"/>
    </row>
    <row r="8" ht="31.05" customHeight="1" spans="1:10">
      <c r="A8" s="102"/>
      <c r="B8" s="118" t="s">
        <v>9</v>
      </c>
      <c r="C8" s="119"/>
      <c r="D8" s="118" t="s">
        <v>10</v>
      </c>
      <c r="E8" s="119"/>
      <c r="F8" s="118" t="s">
        <v>11</v>
      </c>
      <c r="G8" s="118" t="s">
        <v>12</v>
      </c>
      <c r="H8" s="118" t="s">
        <v>13</v>
      </c>
      <c r="I8" s="106" t="s">
        <v>14</v>
      </c>
    </row>
    <row r="9" ht="30.3" customHeight="1" spans="1:10">
      <c r="A9" s="102"/>
      <c r="B9" s="120"/>
      <c r="C9" s="120"/>
      <c r="D9" s="121"/>
      <c r="E9" s="122"/>
      <c r="F9" s="123"/>
      <c r="G9" s="123"/>
      <c r="H9" s="123"/>
      <c r="I9" s="124"/>
    </row>
  </sheetData>
  <mergeCells count="13">
    <mergeCell ref="B1:I1"/>
    <mergeCell ref="B2:I2"/>
    <mergeCell ref="C3:G3"/>
    <mergeCell ref="C4:G4"/>
    <mergeCell ref="C5:G5"/>
    <mergeCell ref="C6:G6"/>
    <mergeCell ref="D7:F7"/>
    <mergeCell ref="B8:C8"/>
    <mergeCell ref="D8:E8"/>
    <mergeCell ref="B9:C9"/>
    <mergeCell ref="D9:E9"/>
    <mergeCell ref="A1:A9"/>
    <mergeCell ref="H3:I7"/>
  </mergeCells>
  <printOptions horizontalCentered="1"/>
  <pageMargins left="0.708661417322835" right="0.708661417322835" top="0.748031496062992" bottom="0.748031496062992" header="0.31496062992126" footer="0.31496062992126"/>
  <pageSetup paperSize="9" scale="9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H13"/>
  <sheetViews>
    <sheetView tabSelected="1" workbookViewId="0">
      <selection activeCell="B7" sqref="B7:D7"/>
    </sheetView>
  </sheetViews>
  <sheetFormatPr defaultColWidth="9" defaultRowHeight="13.8" outlineLevelCol="7"/>
  <cols>
    <col min="1" max="1" width="11.6666666666667" customWidth="1"/>
    <col min="2" max="2" width="13.3333333333333" customWidth="1"/>
    <col min="3" max="3" width="12.8796296296296" customWidth="1"/>
    <col min="4" max="4" width="15.4444444444444" customWidth="1"/>
    <col min="5" max="5" width="45.212962962963" customWidth="1"/>
    <col min="6" max="6" width="37.7777777777778" customWidth="1"/>
    <col min="7" max="7" width="27.1111111111111" customWidth="1"/>
    <col min="8" max="8" width="31.5555555555556" customWidth="1"/>
  </cols>
  <sheetData>
    <row r="1" s="13" customFormat="1" ht="48" customHeight="1" spans="1:8">
      <c r="A1" s="14" t="s">
        <v>15</v>
      </c>
      <c r="B1" s="14"/>
      <c r="C1" s="14"/>
      <c r="D1" s="14"/>
      <c r="E1" s="14"/>
      <c r="F1" s="14"/>
      <c r="G1" s="14"/>
      <c r="H1" s="14"/>
    </row>
    <row r="2" s="13" customFormat="1" ht="30" customHeight="1" spans="1:8">
      <c r="A2" s="15" t="s">
        <v>16</v>
      </c>
      <c r="B2" s="15"/>
      <c r="C2" s="15"/>
      <c r="D2" s="15"/>
      <c r="E2" s="15"/>
      <c r="F2" s="15"/>
      <c r="G2" s="15"/>
      <c r="H2" s="15"/>
    </row>
    <row r="3" s="13" customFormat="1" ht="30" customHeight="1" spans="1:8">
      <c r="A3" s="25" t="s">
        <v>17</v>
      </c>
      <c r="B3" s="91" t="s">
        <v>18</v>
      </c>
      <c r="C3" s="25" t="s">
        <v>19</v>
      </c>
      <c r="D3" s="32" t="s">
        <v>20</v>
      </c>
      <c r="E3" s="29" t="s">
        <v>21</v>
      </c>
      <c r="F3" s="92" t="s">
        <v>22</v>
      </c>
      <c r="G3" s="29" t="s">
        <v>23</v>
      </c>
      <c r="H3" s="93"/>
    </row>
    <row r="4" s="13" customFormat="1" ht="30" customHeight="1" spans="1:8">
      <c r="A4" s="25" t="s">
        <v>24</v>
      </c>
      <c r="B4" s="19" t="s">
        <v>25</v>
      </c>
      <c r="C4" s="94"/>
      <c r="D4" s="39"/>
      <c r="E4" s="18" t="s">
        <v>26</v>
      </c>
      <c r="F4" s="18" t="s">
        <v>27</v>
      </c>
      <c r="G4" s="18" t="s">
        <v>28</v>
      </c>
      <c r="H4" s="18" t="s">
        <v>29</v>
      </c>
    </row>
    <row r="5" s="13" customFormat="1" ht="30" customHeight="1" spans="1:8">
      <c r="A5" s="18">
        <v>1</v>
      </c>
      <c r="B5" s="95" t="s">
        <v>30</v>
      </c>
      <c r="C5" s="96"/>
      <c r="D5" s="97"/>
      <c r="E5" s="25" t="s">
        <v>31</v>
      </c>
      <c r="F5" s="25" t="s">
        <v>32</v>
      </c>
      <c r="G5" s="45">
        <v>1009.93</v>
      </c>
      <c r="H5" s="32"/>
    </row>
    <row r="6" s="13" customFormat="1" ht="30" customHeight="1" spans="1:8">
      <c r="A6" s="18">
        <v>2</v>
      </c>
      <c r="B6" s="95"/>
      <c r="C6" s="96"/>
      <c r="D6" s="97"/>
      <c r="E6" s="25"/>
      <c r="F6" s="25"/>
      <c r="G6" s="45"/>
      <c r="H6" s="17"/>
    </row>
    <row r="7" s="13" customFormat="1" ht="30" customHeight="1" spans="1:8">
      <c r="A7" s="18"/>
      <c r="B7" s="95"/>
      <c r="C7" s="96"/>
      <c r="D7" s="97"/>
      <c r="E7" s="25"/>
      <c r="F7" s="25"/>
      <c r="G7" s="45"/>
      <c r="H7" s="17"/>
    </row>
    <row r="8" s="13" customFormat="1" ht="30" customHeight="1" spans="1:8">
      <c r="A8" s="18"/>
      <c r="B8" s="95"/>
      <c r="C8" s="96"/>
      <c r="D8" s="97"/>
      <c r="E8" s="25"/>
      <c r="F8" s="25"/>
      <c r="G8" s="45"/>
      <c r="H8" s="17"/>
    </row>
    <row r="9" s="13" customFormat="1" ht="30" customHeight="1" spans="1:8">
      <c r="A9" s="18"/>
      <c r="B9" s="95"/>
      <c r="C9" s="96"/>
      <c r="D9" s="97"/>
      <c r="E9" s="25"/>
      <c r="F9" s="25"/>
      <c r="G9" s="45"/>
      <c r="H9" s="98"/>
    </row>
    <row r="10" s="13" customFormat="1" ht="30" customHeight="1" spans="1:8">
      <c r="A10" s="18"/>
      <c r="B10" s="95"/>
      <c r="C10" s="96"/>
      <c r="D10" s="97"/>
      <c r="E10" s="25"/>
      <c r="F10" s="25"/>
      <c r="G10" s="45"/>
      <c r="H10" s="17"/>
    </row>
    <row r="11" s="13" customFormat="1" ht="30" customHeight="1" spans="1:8">
      <c r="A11" s="29" t="s">
        <v>33</v>
      </c>
      <c r="B11" s="29"/>
      <c r="C11" s="19" t="str">
        <f>IF(MOD(G11,1)=0,TEXT(INT(G11),"[DBNUM2]")&amp;"元"&amp;"整",TEXT(INT(G11),"[DBNUM2]")&amp;"元"&amp;TEXT(MID(G11,LEN(INT(G11))+2,1),"[DBNUM2]D角")&amp;TEXT(MID(G11,LEN(INT(G11))+3,1),"[DBNUM2]D分"))</f>
        <v>壹仟零玖元玖角叁分</v>
      </c>
      <c r="D11" s="94"/>
      <c r="E11" s="94"/>
      <c r="F11" s="39"/>
      <c r="G11" s="56">
        <f>SUM(G5:G10)</f>
        <v>1009.93</v>
      </c>
      <c r="H11" s="17"/>
    </row>
    <row r="12" s="13" customFormat="1" ht="24.6" customHeight="1"/>
    <row r="13" s="13" customFormat="1" ht="69" customHeight="1" spans="1:8">
      <c r="A13" s="60" t="s">
        <v>34</v>
      </c>
      <c r="B13" s="60"/>
      <c r="C13" s="60"/>
      <c r="D13" s="60"/>
      <c r="E13" s="60"/>
      <c r="F13" s="60"/>
      <c r="G13" s="60"/>
      <c r="H13" s="60"/>
    </row>
  </sheetData>
  <mergeCells count="12">
    <mergeCell ref="A1:H1"/>
    <mergeCell ref="A2:H2"/>
    <mergeCell ref="B4:D4"/>
    <mergeCell ref="B5:D5"/>
    <mergeCell ref="B6:D6"/>
    <mergeCell ref="B7:D7"/>
    <mergeCell ref="B8:D8"/>
    <mergeCell ref="B9:D9"/>
    <mergeCell ref="B10:D10"/>
    <mergeCell ref="A11:B11"/>
    <mergeCell ref="C11:F11"/>
    <mergeCell ref="A13:H13"/>
  </mergeCells>
  <dataValidations count="3">
    <dataValidation type="list" allowBlank="1" showInputMessage="1" showErrorMessage="1" sqref="D3">
      <formula1>基础数据!$A$2:$A$5</formula1>
    </dataValidation>
    <dataValidation type="list" allowBlank="1" showInputMessage="1" showErrorMessage="1" sqref="E5:E10">
      <formula1>基础数据!$B$2:$B$34</formula1>
    </dataValidation>
    <dataValidation type="list" allowBlank="1" showInputMessage="1" showErrorMessage="1" sqref="F5:F10">
      <formula1>费用大类!$C$2:$C$73</formula1>
    </dataValidation>
  </dataValidations>
  <printOptions horizontalCentered="1"/>
  <pageMargins left="1.18110236220472" right="0.708661417322835" top="0.748031496062992" bottom="0.748031496062992" header="0.31496062992126" footer="0.31496062992126"/>
  <pageSetup paperSize="9" scale="62"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O9"/>
  <sheetViews>
    <sheetView workbookViewId="0">
      <selection activeCell="K11" sqref="K11"/>
    </sheetView>
  </sheetViews>
  <sheetFormatPr defaultColWidth="9" defaultRowHeight="13.8"/>
  <cols>
    <col min="1" max="1" width="12.212962962963" style="73" customWidth="1"/>
    <col min="2" max="2" width="11.8796296296296" style="73" customWidth="1"/>
    <col min="3" max="3" width="21.5555555555556" style="73" customWidth="1"/>
    <col min="4" max="4" width="9.11111111111111" style="73" customWidth="1"/>
    <col min="5" max="6" width="8.77777777777778" style="73" customWidth="1"/>
    <col min="7" max="7" width="9.11111111111111" style="73" customWidth="1"/>
    <col min="8" max="8" width="13.1111111111111" style="73" customWidth="1"/>
    <col min="9" max="9" width="10.4444444444444" style="73" customWidth="1"/>
    <col min="10" max="10" width="12.4444444444444" style="73" customWidth="1"/>
    <col min="11" max="11" width="16.212962962963" style="73" customWidth="1"/>
    <col min="12" max="12" width="21.212962962963" style="73" customWidth="1"/>
    <col min="13" max="13" width="14.3333333333333" style="73" customWidth="1"/>
    <col min="14" max="14" width="18.7777777777778" style="73" customWidth="1"/>
    <col min="15" max="15" width="16.1296296296296" style="73" customWidth="1"/>
    <col min="16" max="16" width="14.3333333333333" style="73" customWidth="1"/>
    <col min="17" max="16384" width="9" style="73"/>
  </cols>
  <sheetData>
    <row r="1" ht="21.6" customHeight="1" spans="1:15">
      <c r="A1" s="74" t="s">
        <v>35</v>
      </c>
      <c r="B1" s="74"/>
      <c r="C1" s="74"/>
      <c r="D1" s="74"/>
      <c r="E1" s="74"/>
      <c r="F1" s="74"/>
      <c r="G1" s="74"/>
      <c r="H1" s="74"/>
      <c r="I1" s="74"/>
      <c r="J1" s="74"/>
      <c r="K1" s="74"/>
      <c r="L1" s="74"/>
      <c r="M1" s="74"/>
      <c r="N1" s="74"/>
      <c r="O1" s="74"/>
    </row>
    <row r="2" ht="24.6" customHeight="1" spans="1:15">
      <c r="A2" s="75" t="s">
        <v>36</v>
      </c>
      <c r="B2" s="75" t="s">
        <v>37</v>
      </c>
      <c r="C2" s="76" t="s">
        <v>26</v>
      </c>
      <c r="D2" s="77" t="s">
        <v>38</v>
      </c>
      <c r="E2" s="78" t="s">
        <v>39</v>
      </c>
      <c r="F2" s="79"/>
      <c r="G2" s="80"/>
      <c r="H2" s="78" t="s">
        <v>40</v>
      </c>
      <c r="I2" s="79"/>
      <c r="J2" s="80"/>
      <c r="K2" s="76" t="s">
        <v>41</v>
      </c>
      <c r="L2" s="76" t="s">
        <v>42</v>
      </c>
      <c r="M2" s="76" t="s">
        <v>43</v>
      </c>
      <c r="N2" s="81" t="s">
        <v>44</v>
      </c>
      <c r="O2" s="76" t="s">
        <v>45</v>
      </c>
    </row>
    <row r="3" ht="28.8" customHeight="1" spans="1:15">
      <c r="A3" s="75"/>
      <c r="B3" s="75"/>
      <c r="C3" s="76"/>
      <c r="D3" s="82"/>
      <c r="E3" s="76" t="s">
        <v>46</v>
      </c>
      <c r="F3" s="76" t="s">
        <v>47</v>
      </c>
      <c r="G3" s="76" t="s">
        <v>38</v>
      </c>
      <c r="H3" s="76" t="s">
        <v>48</v>
      </c>
      <c r="I3" s="76" t="s">
        <v>38</v>
      </c>
      <c r="J3" s="76" t="s">
        <v>46</v>
      </c>
      <c r="K3" s="76" t="s">
        <v>49</v>
      </c>
      <c r="L3" s="76"/>
      <c r="M3" s="76"/>
      <c r="N3" s="81"/>
      <c r="O3" s="76"/>
    </row>
    <row r="4" ht="15" spans="1:15">
      <c r="A4" s="83"/>
      <c r="B4" s="84"/>
      <c r="C4" s="85"/>
      <c r="D4" s="32"/>
      <c r="E4" s="84"/>
      <c r="F4" s="84"/>
      <c r="G4" s="86"/>
      <c r="H4" s="86"/>
      <c r="I4" s="84"/>
      <c r="J4" s="87"/>
      <c r="K4" s="84"/>
      <c r="L4" s="84"/>
      <c r="M4" s="88"/>
      <c r="N4" s="89"/>
      <c r="O4" s="84"/>
    </row>
    <row r="5" ht="15" spans="1:15">
      <c r="A5" s="90"/>
      <c r="B5" s="84"/>
      <c r="C5" s="85"/>
      <c r="D5" s="32"/>
      <c r="E5" s="84"/>
      <c r="F5" s="84"/>
      <c r="G5" s="86"/>
      <c r="H5" s="86"/>
      <c r="I5" s="84"/>
      <c r="J5" s="87"/>
      <c r="K5" s="84"/>
      <c r="L5" s="84"/>
      <c r="M5" s="88"/>
      <c r="N5" s="89"/>
      <c r="O5" s="84"/>
    </row>
    <row r="6" ht="15" spans="1:15">
      <c r="A6" s="90"/>
      <c r="B6" s="84"/>
      <c r="C6" s="85"/>
      <c r="D6" s="32"/>
      <c r="E6" s="84"/>
      <c r="F6" s="84"/>
      <c r="G6" s="86"/>
      <c r="H6" s="86"/>
      <c r="I6" s="84"/>
      <c r="J6" s="87"/>
      <c r="K6" s="84"/>
      <c r="L6" s="84"/>
      <c r="M6" s="88"/>
      <c r="N6" s="89"/>
      <c r="O6" s="84"/>
    </row>
    <row r="7" ht="15" spans="1:15">
      <c r="A7" s="83"/>
      <c r="B7" s="84"/>
      <c r="C7" s="32"/>
      <c r="D7" s="84"/>
      <c r="E7" s="84"/>
      <c r="F7" s="84"/>
      <c r="G7" s="86"/>
      <c r="H7" s="86"/>
      <c r="I7" s="84"/>
      <c r="J7" s="87"/>
      <c r="K7" s="84"/>
      <c r="L7" s="84"/>
      <c r="M7" s="88"/>
      <c r="N7" s="89">
        <f>ROUND(M7/(E7+J7+1),2)</f>
        <v>0</v>
      </c>
      <c r="O7" s="84"/>
    </row>
    <row r="8" ht="18" customHeight="1" spans="1:15">
      <c r="A8" s="83" t="s">
        <v>50</v>
      </c>
      <c r="B8" s="83"/>
      <c r="C8" s="83"/>
      <c r="D8" s="83"/>
      <c r="E8" s="84"/>
      <c r="F8" s="84"/>
      <c r="G8" s="86">
        <f>SUM(G4:G7)</f>
        <v>0</v>
      </c>
      <c r="H8" s="86"/>
      <c r="I8" s="86"/>
      <c r="J8" s="86">
        <f>SUM(J4:J7)</f>
        <v>0</v>
      </c>
      <c r="K8" s="86"/>
      <c r="L8" s="86"/>
      <c r="M8" s="88">
        <f>SUM(M4:M7)</f>
        <v>0</v>
      </c>
      <c r="N8" s="88"/>
      <c r="O8" s="84"/>
    </row>
    <row r="9" ht="18" customHeight="1"/>
  </sheetData>
  <mergeCells count="12">
    <mergeCell ref="A1:O1"/>
    <mergeCell ref="E2:G2"/>
    <mergeCell ref="H2:J2"/>
    <mergeCell ref="A8:C8"/>
    <mergeCell ref="A2:A3"/>
    <mergeCell ref="B2:B3"/>
    <mergeCell ref="C2:C3"/>
    <mergeCell ref="D2:D3"/>
    <mergeCell ref="L2:L3"/>
    <mergeCell ref="M2:M3"/>
    <mergeCell ref="N2:N3"/>
    <mergeCell ref="O2:O3"/>
  </mergeCells>
  <dataValidations count="1">
    <dataValidation type="list" allowBlank="1" showInputMessage="1" showErrorMessage="1" sqref="C4:C7">
      <formula1>基础数据!$B$2:$B$34</formula1>
    </dataValidation>
  </dataValidations>
  <pageMargins left="0.708661417322835" right="0.708661417322835" top="0.748031496062992" bottom="0.748031496062992" header="0.31496062992126" footer="0.31496062992126"/>
  <pageSetup paperSize="9" scale="62"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L21"/>
  <sheetViews>
    <sheetView workbookViewId="0">
      <selection activeCell="D4" sqref="D4:E12"/>
    </sheetView>
  </sheetViews>
  <sheetFormatPr defaultColWidth="9" defaultRowHeight="13.8"/>
  <cols>
    <col min="1" max="1" width="15.4444444444444" customWidth="1"/>
    <col min="2" max="2" width="15.8796296296296" customWidth="1"/>
    <col min="3" max="3" width="34.5555555555556" customWidth="1"/>
    <col min="4" max="4" width="24.5555555555556" customWidth="1"/>
    <col min="5" max="5" width="21" customWidth="1"/>
    <col min="6" max="6" width="50.4444444444444" customWidth="1"/>
  </cols>
  <sheetData>
    <row r="1" s="13" customFormat="1" ht="30" customHeight="1" spans="1:6">
      <c r="A1" s="14" t="s">
        <v>51</v>
      </c>
      <c r="B1" s="14"/>
      <c r="C1" s="14"/>
      <c r="D1" s="14"/>
      <c r="E1" s="14"/>
      <c r="F1" s="14"/>
    </row>
    <row r="2" s="13" customFormat="1" ht="30" customHeight="1" spans="1:6">
      <c r="A2" s="15" t="s">
        <v>16</v>
      </c>
      <c r="B2" s="15"/>
      <c r="C2" s="61" t="s">
        <v>52</v>
      </c>
      <c r="D2" s="61" t="s">
        <v>53</v>
      </c>
      <c r="E2" s="13"/>
      <c r="F2" s="61" t="s">
        <v>23</v>
      </c>
    </row>
    <row r="3" s="13" customFormat="1" ht="30" customHeight="1" spans="1:6">
      <c r="A3" s="18" t="s">
        <v>54</v>
      </c>
      <c r="B3" s="18" t="s">
        <v>28</v>
      </c>
      <c r="C3" s="19" t="s">
        <v>26</v>
      </c>
      <c r="D3" s="18" t="s">
        <v>55</v>
      </c>
      <c r="E3" s="18"/>
      <c r="F3" s="18" t="s">
        <v>56</v>
      </c>
    </row>
    <row r="4" s="13" customFormat="1" ht="30" customHeight="1" spans="1:6">
      <c r="A4" s="62"/>
      <c r="B4" s="62"/>
      <c r="C4" s="63"/>
      <c r="D4" s="64"/>
      <c r="E4" s="65"/>
      <c r="F4" s="62"/>
    </row>
    <row r="5" s="13" customFormat="1" ht="30" customHeight="1" spans="1:6">
      <c r="A5" s="62"/>
      <c r="B5" s="62"/>
      <c r="C5" s="63"/>
      <c r="D5" s="66"/>
      <c r="E5" s="67"/>
      <c r="F5" s="62"/>
    </row>
    <row r="6" s="13" customFormat="1" ht="30" customHeight="1" spans="1:6">
      <c r="A6" s="62"/>
      <c r="B6" s="62"/>
      <c r="C6" s="63"/>
      <c r="D6" s="66"/>
      <c r="E6" s="67"/>
      <c r="F6" s="62"/>
    </row>
    <row r="7" s="13" customFormat="1" ht="30" customHeight="1" spans="1:6">
      <c r="A7" s="62"/>
      <c r="B7" s="62"/>
      <c r="C7" s="63"/>
      <c r="D7" s="66"/>
      <c r="E7" s="67"/>
      <c r="F7" s="62"/>
    </row>
    <row r="8" s="13" customFormat="1" ht="30" customHeight="1" spans="1:6">
      <c r="A8" s="62"/>
      <c r="B8" s="62"/>
      <c r="C8" s="63"/>
      <c r="D8" s="66"/>
      <c r="E8" s="67"/>
      <c r="F8" s="62"/>
    </row>
    <row r="9" s="13" customFormat="1" ht="30" customHeight="1" spans="1:6">
      <c r="A9" s="62"/>
      <c r="B9" s="62"/>
      <c r="C9" s="63"/>
      <c r="D9" s="66"/>
      <c r="E9" s="67"/>
      <c r="F9" s="62"/>
    </row>
    <row r="10" s="13" customFormat="1" ht="30" customHeight="1" spans="1:6">
      <c r="A10" s="62"/>
      <c r="B10" s="62"/>
      <c r="C10" s="63"/>
      <c r="D10" s="66"/>
      <c r="E10" s="67"/>
      <c r="F10" s="62"/>
    </row>
    <row r="11" s="13" customFormat="1" ht="30" customHeight="1" spans="1:6">
      <c r="A11" s="62"/>
      <c r="B11" s="62"/>
      <c r="C11" s="63"/>
      <c r="D11" s="66"/>
      <c r="E11" s="67"/>
      <c r="F11" s="62"/>
    </row>
    <row r="12" s="13" customFormat="1" ht="30" customHeight="1" spans="1:6">
      <c r="A12" s="62"/>
      <c r="B12" s="62"/>
      <c r="C12" s="63"/>
      <c r="D12" s="68"/>
      <c r="E12" s="69"/>
      <c r="F12" s="62"/>
    </row>
    <row r="13" s="13" customFormat="1" ht="30" customHeight="1" spans="1:6">
      <c r="A13" s="44"/>
      <c r="B13" s="45"/>
      <c r="C13" s="63"/>
      <c r="D13" s="19"/>
      <c r="E13" s="39"/>
      <c r="F13" s="17"/>
    </row>
    <row r="14" s="13" customFormat="1" ht="30" customHeight="1" spans="1:6">
      <c r="A14" s="44"/>
      <c r="B14" s="45"/>
      <c r="C14" s="63"/>
      <c r="D14" s="19"/>
      <c r="E14" s="39"/>
      <c r="F14" s="17"/>
    </row>
    <row r="15" s="13" customFormat="1" ht="30" customHeight="1" spans="1:6">
      <c r="A15" s="44"/>
      <c r="B15" s="45"/>
      <c r="C15" s="63"/>
      <c r="D15" s="19"/>
      <c r="E15" s="39"/>
      <c r="F15" s="17"/>
    </row>
    <row r="16" s="13" customFormat="1" ht="30" customHeight="1" spans="1:6">
      <c r="A16" s="44"/>
      <c r="B16" s="45"/>
      <c r="C16" s="63"/>
      <c r="D16" s="19"/>
      <c r="E16" s="39"/>
      <c r="F16" s="17"/>
    </row>
    <row r="17" s="13" customFormat="1" ht="30" customHeight="1" spans="1:12">
      <c r="A17" s="44"/>
      <c r="B17" s="45"/>
      <c r="C17" s="63"/>
      <c r="D17" s="19"/>
      <c r="E17" s="39"/>
      <c r="F17" s="17"/>
    </row>
    <row r="18" s="13" customFormat="1" ht="30" customHeight="1" spans="1:12">
      <c r="A18" s="29" t="s">
        <v>57</v>
      </c>
      <c r="B18" s="45">
        <f>SUM(B4:B17)</f>
        <v>0</v>
      </c>
      <c r="C18" s="45"/>
      <c r="D18" s="20"/>
      <c r="E18" s="20"/>
      <c r="F18" s="17"/>
    </row>
    <row r="19" s="13" customFormat="1" ht="30" customHeight="1"/>
    <row r="20" s="13" customFormat="1" ht="52.2" customHeight="1" spans="1:12">
      <c r="A20" s="70" t="s">
        <v>58</v>
      </c>
      <c r="B20" s="70"/>
      <c r="C20" s="70"/>
      <c r="D20" s="70"/>
      <c r="E20" s="70"/>
      <c r="F20" s="71"/>
      <c r="G20" s="72"/>
      <c r="H20" s="72"/>
      <c r="I20" s="72"/>
      <c r="J20" s="72"/>
      <c r="K20" s="72"/>
      <c r="L20" s="72"/>
    </row>
    <row r="21" s="13" customFormat="1" ht="30" customHeight="1"/>
  </sheetData>
  <mergeCells count="11">
    <mergeCell ref="A1:F1"/>
    <mergeCell ref="A2:B2"/>
    <mergeCell ref="D3:E3"/>
    <mergeCell ref="D13:E13"/>
    <mergeCell ref="D14:E14"/>
    <mergeCell ref="D15:E15"/>
    <mergeCell ref="D16:E16"/>
    <mergeCell ref="D17:E17"/>
    <mergeCell ref="D18:E18"/>
    <mergeCell ref="A20:E20"/>
    <mergeCell ref="D4:E12"/>
  </mergeCells>
  <dataValidations count="1">
    <dataValidation type="list" allowBlank="1" showInputMessage="1" showErrorMessage="1" sqref="C4:C17">
      <formula1>基础数据!$B$2:$B$34</formula1>
    </dataValidation>
  </dataValidations>
  <printOptions horizontalCentered="1"/>
  <pageMargins left="1.18110236220472" right="0.708661417322835" top="0.748031496062992" bottom="0.748031496062992" header="0.31496062992126" footer="0.31496062992126"/>
  <pageSetup paperSize="9" scale="7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6"/>
  <sheetViews>
    <sheetView topLeftCell="A3" workbookViewId="0">
      <selection activeCell="L3" sqref="L3:M3"/>
    </sheetView>
  </sheetViews>
  <sheetFormatPr defaultColWidth="9" defaultRowHeight="30.6" customHeight="1"/>
  <cols>
    <col min="1" max="1" width="11.6666666666667" style="13" customWidth="1"/>
    <col min="2" max="2" width="13" style="13" customWidth="1"/>
    <col min="3" max="3" width="12.5555555555556" style="13" customWidth="1"/>
    <col min="4" max="4" width="13.1111111111111" style="13" customWidth="1"/>
    <col min="5" max="5" width="13.3333333333333" style="13" customWidth="1"/>
    <col min="6" max="6" width="16.5555555555556" style="13" customWidth="1"/>
    <col min="7" max="7" width="15.1111111111111" style="13" customWidth="1"/>
    <col min="8" max="8" width="10.6296296296296" style="13" customWidth="1"/>
    <col min="9" max="9" width="15.1111111111111" style="13" customWidth="1"/>
    <col min="10" max="10" width="14.4444444444444" style="13" customWidth="1"/>
    <col min="11" max="11" width="14.1111111111111" style="13" customWidth="1"/>
    <col min="12" max="12" width="11" style="13" customWidth="1"/>
    <col min="13" max="13" width="18.1111111111111" style="13" customWidth="1"/>
    <col min="14" max="14" width="24.4444444444444" style="13" customWidth="1"/>
    <col min="15" max="15" width="5.77777777777778" style="13" customWidth="1"/>
    <col min="16" max="16" width="17.6666666666667" style="13" customWidth="1"/>
    <col min="17" max="17" width="16.1111111111111" style="13" customWidth="1"/>
    <col min="18" max="18" width="15.3333333333333" style="13" customWidth="1"/>
    <col min="19" max="19" width="11.6666666666667" style="13" customWidth="1"/>
    <col min="20" max="20" width="13.5555555555556" style="13" customWidth="1"/>
    <col min="21" max="16384" width="8.87962962962963" style="13"/>
  </cols>
  <sheetData>
    <row r="1" ht="30" customHeight="1" spans="1:20">
      <c r="A1" s="14" t="s">
        <v>59</v>
      </c>
      <c r="B1" s="14"/>
      <c r="C1" s="14"/>
      <c r="D1" s="14"/>
      <c r="E1" s="14"/>
      <c r="F1" s="14"/>
      <c r="G1" s="14"/>
      <c r="H1" s="14"/>
      <c r="I1" s="14"/>
      <c r="J1" s="14"/>
      <c r="K1" s="14"/>
      <c r="L1" s="14"/>
      <c r="M1" s="14"/>
      <c r="N1" s="14"/>
      <c r="O1" s="14"/>
    </row>
    <row r="2" ht="30" customHeight="1" spans="1:20">
      <c r="A2" s="15" t="s">
        <v>16</v>
      </c>
      <c r="B2" s="15"/>
      <c r="C2" s="15"/>
      <c r="D2" s="15"/>
      <c r="E2" s="15"/>
      <c r="F2" s="15"/>
      <c r="G2" s="15"/>
      <c r="H2" s="15"/>
      <c r="I2" s="15"/>
      <c r="J2" s="15"/>
      <c r="K2" s="15"/>
      <c r="L2" s="15"/>
      <c r="M2" s="15"/>
      <c r="N2" s="15"/>
      <c r="P2" s="18" t="s">
        <v>60</v>
      </c>
      <c r="Q2" s="18" t="s">
        <v>61</v>
      </c>
      <c r="R2" s="18" t="s">
        <v>62</v>
      </c>
      <c r="S2" s="25" t="s">
        <v>63</v>
      </c>
      <c r="T2" s="26" t="s">
        <v>64</v>
      </c>
    </row>
    <row r="3" ht="30" customHeight="1" spans="1:20">
      <c r="A3" s="27" t="s">
        <v>17</v>
      </c>
      <c r="B3" s="28"/>
      <c r="C3" s="25" t="s">
        <v>21</v>
      </c>
      <c r="E3" s="29" t="s">
        <v>65</v>
      </c>
      <c r="G3" s="30" t="s">
        <v>66</v>
      </c>
      <c r="H3" s="31"/>
      <c r="I3" s="29" t="s">
        <v>67</v>
      </c>
      <c r="J3" s="32"/>
      <c r="K3" s="25" t="s">
        <v>68</v>
      </c>
      <c r="L3" s="33"/>
      <c r="M3" s="34"/>
      <c r="N3" s="16" t="s">
        <v>23</v>
      </c>
      <c r="P3" s="35" t="s">
        <v>69</v>
      </c>
      <c r="Q3" s="16" t="s">
        <v>70</v>
      </c>
      <c r="R3" s="36">
        <v>500</v>
      </c>
      <c r="S3" s="37">
        <v>90</v>
      </c>
      <c r="T3" s="38" t="s">
        <v>71</v>
      </c>
    </row>
    <row r="4" ht="30" customHeight="1" spans="1:20">
      <c r="A4" s="19" t="s">
        <v>72</v>
      </c>
      <c r="B4" s="39"/>
      <c r="C4" s="18" t="s">
        <v>73</v>
      </c>
      <c r="D4" s="18"/>
      <c r="E4" s="19" t="s">
        <v>74</v>
      </c>
      <c r="F4" s="39"/>
      <c r="G4" s="18" t="s">
        <v>75</v>
      </c>
      <c r="H4" s="18"/>
      <c r="I4" s="18"/>
      <c r="J4" s="18" t="s">
        <v>76</v>
      </c>
      <c r="K4" s="18" t="s">
        <v>77</v>
      </c>
      <c r="L4" s="18"/>
      <c r="M4" s="18"/>
      <c r="N4" s="18" t="s">
        <v>78</v>
      </c>
      <c r="P4" s="40"/>
      <c r="Q4" s="16" t="s">
        <v>79</v>
      </c>
      <c r="R4" s="36">
        <v>450</v>
      </c>
      <c r="S4" s="37">
        <v>90</v>
      </c>
      <c r="T4" s="41"/>
    </row>
    <row r="5" ht="30" customHeight="1" spans="1:20">
      <c r="A5" s="18" t="s">
        <v>80</v>
      </c>
      <c r="B5" s="18" t="s">
        <v>81</v>
      </c>
      <c r="C5" s="18" t="s">
        <v>82</v>
      </c>
      <c r="D5" s="18" t="s">
        <v>83</v>
      </c>
      <c r="E5" s="18" t="s">
        <v>84</v>
      </c>
      <c r="F5" s="18" t="s">
        <v>85</v>
      </c>
      <c r="G5" s="18" t="s">
        <v>86</v>
      </c>
      <c r="H5" s="18" t="s">
        <v>87</v>
      </c>
      <c r="I5" s="18" t="s">
        <v>88</v>
      </c>
      <c r="J5" s="18" t="s">
        <v>89</v>
      </c>
      <c r="K5" s="42" t="s">
        <v>90</v>
      </c>
      <c r="L5" s="42" t="s">
        <v>91</v>
      </c>
      <c r="M5" s="18" t="s">
        <v>92</v>
      </c>
      <c r="N5" s="18"/>
      <c r="P5" s="43"/>
      <c r="Q5" s="16" t="s">
        <v>93</v>
      </c>
      <c r="R5" s="37">
        <v>300</v>
      </c>
      <c r="S5" s="37">
        <v>90</v>
      </c>
      <c r="T5" s="41"/>
    </row>
    <row r="6" ht="30" customHeight="1" spans="1:20">
      <c r="A6" s="44"/>
      <c r="B6" s="44"/>
      <c r="C6" s="24"/>
      <c r="D6" s="24"/>
      <c r="E6" s="45"/>
      <c r="F6" s="45"/>
      <c r="G6" s="45"/>
      <c r="H6" s="45"/>
      <c r="I6" s="45"/>
      <c r="J6" s="45"/>
      <c r="K6" s="45"/>
      <c r="L6" s="45"/>
      <c r="M6" s="45"/>
      <c r="N6" s="46">
        <f t="shared" ref="N6:N11" si="0">F6+G6+H6+I6+J6-L6+M6</f>
        <v>0</v>
      </c>
      <c r="P6" s="35" t="s">
        <v>94</v>
      </c>
      <c r="Q6" s="16" t="s">
        <v>70</v>
      </c>
      <c r="R6" s="36">
        <v>400</v>
      </c>
      <c r="S6" s="37">
        <v>90</v>
      </c>
      <c r="T6" s="41"/>
    </row>
    <row r="7" ht="30" customHeight="1" spans="1:20">
      <c r="A7" s="44"/>
      <c r="B7" s="44"/>
      <c r="C7" s="20"/>
      <c r="D7" s="20"/>
      <c r="E7" s="45"/>
      <c r="F7" s="45"/>
      <c r="G7" s="45"/>
      <c r="H7" s="45"/>
      <c r="I7" s="45"/>
      <c r="J7" s="45"/>
      <c r="K7" s="45"/>
      <c r="L7" s="45"/>
      <c r="M7" s="45"/>
      <c r="N7" s="46">
        <f t="shared" si="0"/>
        <v>0</v>
      </c>
      <c r="P7" s="40"/>
      <c r="Q7" s="16" t="s">
        <v>79</v>
      </c>
      <c r="R7" s="36">
        <v>350</v>
      </c>
      <c r="S7" s="37">
        <v>90</v>
      </c>
      <c r="T7" s="41"/>
    </row>
    <row r="8" ht="30" customHeight="1" spans="1:20">
      <c r="A8" s="44"/>
      <c r="B8" s="44"/>
      <c r="C8" s="20"/>
      <c r="D8" s="20"/>
      <c r="E8" s="45"/>
      <c r="F8" s="45">
        <f t="shared" ref="F7:F10" si="1">IF(D8="深圳",0,E8*$S$3)</f>
        <v>0</v>
      </c>
      <c r="G8" s="45"/>
      <c r="H8" s="45"/>
      <c r="I8" s="45"/>
      <c r="J8" s="45"/>
      <c r="K8" s="45"/>
      <c r="L8" s="45"/>
      <c r="M8" s="45"/>
      <c r="N8" s="46">
        <f t="shared" si="0"/>
        <v>0</v>
      </c>
      <c r="P8" s="43"/>
      <c r="Q8" s="16" t="s">
        <v>93</v>
      </c>
      <c r="R8" s="47">
        <v>300</v>
      </c>
      <c r="S8" s="37">
        <v>90</v>
      </c>
      <c r="T8" s="48"/>
    </row>
    <row r="9" ht="30" customHeight="1" spans="1:20">
      <c r="A9" s="17"/>
      <c r="B9" s="17"/>
      <c r="C9" s="17"/>
      <c r="D9" s="17"/>
      <c r="E9" s="45"/>
      <c r="F9" s="45">
        <f t="shared" si="1"/>
        <v>0</v>
      </c>
      <c r="G9" s="45"/>
      <c r="H9" s="45"/>
      <c r="I9" s="45"/>
      <c r="J9" s="45"/>
      <c r="K9" s="45"/>
      <c r="L9" s="45"/>
      <c r="M9" s="45"/>
      <c r="N9" s="46">
        <f t="shared" si="0"/>
        <v>0</v>
      </c>
      <c r="O9" s="49"/>
    </row>
    <row r="10" ht="30" customHeight="1" spans="1:20">
      <c r="A10" s="17"/>
      <c r="B10" s="17"/>
      <c r="C10" s="17"/>
      <c r="D10" s="17"/>
      <c r="E10" s="45"/>
      <c r="F10" s="45">
        <f t="shared" si="1"/>
        <v>0</v>
      </c>
      <c r="G10" s="45"/>
      <c r="H10" s="45"/>
      <c r="I10" s="45"/>
      <c r="J10" s="45"/>
      <c r="K10" s="45"/>
      <c r="L10" s="45"/>
      <c r="M10" s="45"/>
      <c r="N10" s="46">
        <f t="shared" si="0"/>
        <v>0</v>
      </c>
      <c r="O10" s="49"/>
    </row>
    <row r="11" ht="30" customHeight="1" spans="1:20">
      <c r="A11" s="50" t="s">
        <v>95</v>
      </c>
      <c r="B11" s="51"/>
      <c r="C11" s="51"/>
      <c r="D11" s="52"/>
      <c r="E11" s="46">
        <f>SUM(E6:E10)</f>
        <v>0</v>
      </c>
      <c r="F11" s="46">
        <f>SUM(F6:F10)</f>
        <v>0</v>
      </c>
      <c r="G11" s="45">
        <f t="shared" ref="G11:J11" si="2">SUM(G6:G10)</f>
        <v>0</v>
      </c>
      <c r="H11" s="45">
        <f t="shared" si="2"/>
        <v>0</v>
      </c>
      <c r="I11" s="45">
        <f t="shared" si="2"/>
        <v>0</v>
      </c>
      <c r="J11" s="45">
        <f t="shared" si="2"/>
        <v>0</v>
      </c>
      <c r="K11" s="45"/>
      <c r="L11" s="45">
        <f>SUM(L6:L10)</f>
        <v>0</v>
      </c>
      <c r="M11" s="45">
        <f>SUM(M6:M10)</f>
        <v>0</v>
      </c>
      <c r="N11" s="46">
        <f t="shared" si="0"/>
        <v>0</v>
      </c>
      <c r="O11" s="49"/>
    </row>
    <row r="12" ht="30" customHeight="1" spans="1:20">
      <c r="A12" s="53"/>
      <c r="B12" s="54"/>
      <c r="C12" s="54"/>
      <c r="D12" s="55"/>
      <c r="E12" s="37" t="s">
        <v>96</v>
      </c>
      <c r="F12" s="45">
        <f>F11-L11</f>
        <v>0</v>
      </c>
      <c r="G12" s="37" t="s">
        <v>97</v>
      </c>
      <c r="H12" s="56">
        <f>SUM(G11:I11)</f>
        <v>0</v>
      </c>
      <c r="I12" s="37" t="s">
        <v>98</v>
      </c>
      <c r="J12" s="57">
        <f>J11</f>
        <v>0</v>
      </c>
      <c r="K12" s="58" t="s">
        <v>99</v>
      </c>
      <c r="L12" s="59"/>
      <c r="M12" s="45">
        <f>M11</f>
        <v>0</v>
      </c>
      <c r="N12" s="46">
        <f>M12+J12+H12+F12</f>
        <v>0</v>
      </c>
      <c r="O12" s="49"/>
    </row>
    <row r="13" ht="30" customHeight="1" spans="1:20">
      <c r="A13" s="29" t="s">
        <v>100</v>
      </c>
      <c r="B13" s="29"/>
      <c r="C13" s="29"/>
      <c r="D13" s="29"/>
      <c r="E13" s="18" t="str">
        <f>IF(MOD(N13,1)=0,TEXT(INT(N13),"[DBNUM2]")&amp;"元"&amp;"整",TEXT(INT(N13),"[DBNUM2]")&amp;"元"&amp;TEXT(MID(N13,LEN(INT(N13))+2,1),"[DBNUM2]D角")&amp;TEXT(MID(N13,LEN(INT(N13))+3,1),"[DBNUM2]D分"))</f>
        <v>零元整</v>
      </c>
      <c r="F13" s="18"/>
      <c r="G13" s="18"/>
      <c r="H13" s="18"/>
      <c r="I13" s="18"/>
      <c r="J13" s="18"/>
      <c r="K13" s="18"/>
      <c r="L13" s="18"/>
      <c r="M13" s="18"/>
      <c r="N13" s="46">
        <f>N12</f>
        <v>0</v>
      </c>
      <c r="O13" s="49"/>
    </row>
    <row r="14" ht="30" customHeight="1" spans="1:20">
      <c r="O14" s="49"/>
    </row>
    <row r="15" ht="71.4" customHeight="1" spans="1:20">
      <c r="A15" s="60" t="s">
        <v>101</v>
      </c>
      <c r="B15" s="60"/>
      <c r="C15" s="60"/>
      <c r="D15" s="60"/>
      <c r="E15" s="60"/>
      <c r="F15" s="60"/>
      <c r="G15" s="60"/>
      <c r="H15" s="60"/>
      <c r="I15" s="60"/>
      <c r="J15" s="60"/>
      <c r="K15" s="60"/>
      <c r="L15" s="60"/>
      <c r="M15" s="60"/>
      <c r="N15" s="60"/>
    </row>
    <row r="16" ht="104.4" customHeight="1"/>
  </sheetData>
  <mergeCells count="17">
    <mergeCell ref="A1:N1"/>
    <mergeCell ref="A2:N2"/>
    <mergeCell ref="L3:M3"/>
    <mergeCell ref="A4:B4"/>
    <mergeCell ref="C4:D4"/>
    <mergeCell ref="E4:F4"/>
    <mergeCell ref="G4:I4"/>
    <mergeCell ref="K4:M4"/>
    <mergeCell ref="K12:L12"/>
    <mergeCell ref="A13:D13"/>
    <mergeCell ref="E13:M13"/>
    <mergeCell ref="A15:N15"/>
    <mergeCell ref="N4:N5"/>
    <mergeCell ref="P3:P5"/>
    <mergeCell ref="P6:P8"/>
    <mergeCell ref="T3:T8"/>
    <mergeCell ref="A11:D12"/>
  </mergeCells>
  <dataValidations count="1">
    <dataValidation type="list" allowBlank="1" showInputMessage="1" showErrorMessage="1" sqref="H3">
      <formula1>基础数据!$B$2:$B$34</formula1>
    </dataValidation>
  </dataValidations>
  <pageMargins left="1.18110236220472" right="0.708661417322835" top="0.748031496062992" bottom="0.748031496062992" header="0.31496062992126" footer="0.31496062992126"/>
  <pageSetup paperSize="9" scale="60"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3"/>
  <sheetViews>
    <sheetView workbookViewId="0">
      <selection activeCell="F7" sqref="F7"/>
    </sheetView>
  </sheetViews>
  <sheetFormatPr defaultColWidth="9" defaultRowHeight="13.8" outlineLevelCol="5"/>
  <cols>
    <col min="1" max="2" width="15.4444444444444" customWidth="1"/>
    <col min="3" max="3" width="16.8796296296296" customWidth="1"/>
    <col min="4" max="4" width="33.4444444444444" customWidth="1"/>
    <col min="5" max="5" width="33.7777777777778" customWidth="1"/>
    <col min="6" max="6" width="42.1111111111111" customWidth="1"/>
  </cols>
  <sheetData>
    <row r="1" s="13" customFormat="1" ht="30" customHeight="1" spans="1:6">
      <c r="A1" s="14" t="s">
        <v>102</v>
      </c>
      <c r="B1" s="14"/>
      <c r="C1" s="14"/>
      <c r="D1" s="14"/>
      <c r="E1" s="14"/>
      <c r="F1" s="14"/>
    </row>
    <row r="2" s="13" customFormat="1" ht="30" customHeight="1" spans="1:6">
      <c r="A2" s="15" t="s">
        <v>16</v>
      </c>
      <c r="B2" s="15"/>
      <c r="C2" s="15"/>
      <c r="D2" s="15"/>
      <c r="E2" s="15"/>
      <c r="F2" s="15"/>
    </row>
    <row r="3" s="13" customFormat="1" ht="30" customHeight="1" spans="1:6">
      <c r="A3" s="16" t="s">
        <v>103</v>
      </c>
      <c r="B3" s="17"/>
      <c r="C3" s="17"/>
      <c r="D3" s="16" t="s">
        <v>104</v>
      </c>
      <c r="E3" s="16" t="s">
        <v>105</v>
      </c>
      <c r="F3" s="16" t="s">
        <v>68</v>
      </c>
    </row>
    <row r="4" s="13" customFormat="1" ht="30" customHeight="1" spans="1:6">
      <c r="A4" s="18" t="s">
        <v>80</v>
      </c>
      <c r="B4" s="18" t="s">
        <v>81</v>
      </c>
      <c r="C4" s="18" t="s">
        <v>106</v>
      </c>
      <c r="D4" s="19" t="s">
        <v>107</v>
      </c>
      <c r="E4" s="19" t="s">
        <v>108</v>
      </c>
      <c r="F4" s="18" t="s">
        <v>109</v>
      </c>
    </row>
    <row r="5" s="13" customFormat="1" ht="30" customHeight="1" spans="1:6">
      <c r="A5" s="17"/>
      <c r="B5" s="17"/>
      <c r="C5" s="20"/>
      <c r="D5" s="17"/>
      <c r="E5" s="21"/>
      <c r="F5" s="22"/>
    </row>
    <row r="6" s="13" customFormat="1" ht="30" customHeight="1" spans="1:6">
      <c r="A6" s="17"/>
      <c r="B6" s="17"/>
      <c r="C6" s="20"/>
      <c r="D6" s="17"/>
      <c r="E6" s="23"/>
      <c r="F6" s="22"/>
    </row>
    <row r="7" s="13" customFormat="1" ht="30" customHeight="1" spans="1:6">
      <c r="A7" s="17"/>
      <c r="B7" s="17"/>
      <c r="C7" s="17"/>
      <c r="D7" s="17"/>
      <c r="E7" s="19"/>
      <c r="F7" s="24"/>
    </row>
    <row r="8" s="13" customFormat="1" ht="30" customHeight="1" spans="1:6">
      <c r="A8" s="17"/>
      <c r="B8" s="17"/>
      <c r="C8" s="17"/>
      <c r="D8" s="17"/>
      <c r="E8" s="19"/>
      <c r="F8" s="24"/>
    </row>
    <row r="9" s="13" customFormat="1" ht="30" customHeight="1" spans="1:6">
      <c r="A9" s="17"/>
      <c r="B9" s="17"/>
      <c r="C9" s="17"/>
      <c r="D9" s="17"/>
      <c r="E9" s="19"/>
      <c r="F9" s="24"/>
    </row>
    <row r="10" s="13" customFormat="1" ht="30" customHeight="1" spans="1:6">
      <c r="A10" s="17"/>
      <c r="B10" s="17"/>
      <c r="C10" s="17"/>
      <c r="D10" s="17"/>
      <c r="E10" s="19"/>
      <c r="F10" s="24"/>
    </row>
    <row r="11" s="13" customFormat="1" ht="30" customHeight="1"/>
    <row r="12" s="13" customFormat="1" ht="30" customHeight="1"/>
    <row r="13" s="13" customFormat="1" ht="30" customHeight="1"/>
  </sheetData>
  <mergeCells count="2">
    <mergeCell ref="A1:F1"/>
    <mergeCell ref="A2:F2"/>
  </mergeCells>
  <pageMargins left="0.708661417322835" right="0.708661417322835" top="0.748031496062992" bottom="0.748031496062992" header="0.31496062992126" footer="0.31496062992126"/>
  <pageSetup paperSize="9" scale="8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E20" sqref="E20"/>
    </sheetView>
  </sheetViews>
  <sheetFormatPr defaultColWidth="9" defaultRowHeight="13.2" outlineLevelCol="4"/>
  <cols>
    <col min="1" max="1" width="11.6666666666667" style="7" customWidth="1"/>
    <col min="2" max="2" width="36" style="7" customWidth="1"/>
    <col min="3" max="3" width="10.212962962963" style="8" customWidth="1"/>
    <col min="4" max="4" width="9.11111111111111" style="8" customWidth="1"/>
    <col min="5" max="5" width="12.6666666666667" style="8" customWidth="1"/>
    <col min="6" max="16384" width="8.87962962962963" style="9"/>
  </cols>
  <sheetData>
    <row r="1" spans="1:5">
      <c r="A1" s="10" t="s">
        <v>110</v>
      </c>
      <c r="B1" s="10" t="s">
        <v>111</v>
      </c>
      <c r="C1" s="11" t="s">
        <v>112</v>
      </c>
      <c r="D1" s="11" t="s">
        <v>69</v>
      </c>
      <c r="E1" s="11" t="s">
        <v>94</v>
      </c>
    </row>
    <row r="2" spans="1:5">
      <c r="A2" s="7" t="s">
        <v>70</v>
      </c>
      <c r="B2" s="7" t="s">
        <v>113</v>
      </c>
      <c r="C2" s="8">
        <v>800</v>
      </c>
      <c r="D2" s="8">
        <v>500</v>
      </c>
      <c r="E2" s="8">
        <v>400</v>
      </c>
    </row>
    <row r="3" spans="1:5">
      <c r="A3" s="7" t="s">
        <v>114</v>
      </c>
      <c r="B3" s="7" t="s">
        <v>115</v>
      </c>
      <c r="C3" s="8">
        <v>800</v>
      </c>
      <c r="D3" s="8">
        <v>500</v>
      </c>
      <c r="E3" s="8">
        <v>400</v>
      </c>
    </row>
    <row r="4" spans="1:5">
      <c r="A4" s="7" t="s">
        <v>114</v>
      </c>
      <c r="B4" s="7" t="s">
        <v>116</v>
      </c>
      <c r="C4" s="8">
        <v>800</v>
      </c>
      <c r="D4" s="8">
        <v>500</v>
      </c>
      <c r="E4" s="8">
        <v>400</v>
      </c>
    </row>
    <row r="5" spans="1:5">
      <c r="A5" s="7" t="s">
        <v>114</v>
      </c>
      <c r="B5" s="7" t="s">
        <v>117</v>
      </c>
      <c r="C5" s="8">
        <v>800</v>
      </c>
      <c r="D5" s="8">
        <v>500</v>
      </c>
      <c r="E5" s="8">
        <v>400</v>
      </c>
    </row>
    <row r="6" spans="1:5">
      <c r="A6" s="7" t="s">
        <v>118</v>
      </c>
      <c r="B6" s="7" t="s">
        <v>119</v>
      </c>
      <c r="C6" s="8">
        <v>600</v>
      </c>
      <c r="D6" s="8">
        <v>450</v>
      </c>
      <c r="E6" s="8">
        <v>350</v>
      </c>
    </row>
    <row r="7" spans="1:5">
      <c r="A7" s="7" t="s">
        <v>118</v>
      </c>
      <c r="B7" s="7" t="s">
        <v>120</v>
      </c>
      <c r="C7" s="8">
        <v>600</v>
      </c>
      <c r="D7" s="8">
        <v>450</v>
      </c>
      <c r="E7" s="8">
        <v>350</v>
      </c>
    </row>
    <row r="8" spans="1:5">
      <c r="A8" s="7" t="s">
        <v>118</v>
      </c>
      <c r="B8" s="7" t="s">
        <v>121</v>
      </c>
      <c r="C8" s="8">
        <v>600</v>
      </c>
      <c r="D8" s="8">
        <v>450</v>
      </c>
      <c r="E8" s="8">
        <v>350</v>
      </c>
    </row>
    <row r="9" spans="1:5">
      <c r="A9" s="7" t="s">
        <v>118</v>
      </c>
      <c r="B9" s="7" t="s">
        <v>122</v>
      </c>
      <c r="C9" s="8">
        <v>600</v>
      </c>
      <c r="D9" s="8">
        <v>450</v>
      </c>
      <c r="E9" s="8">
        <v>350</v>
      </c>
    </row>
    <row r="10" spans="1:5">
      <c r="A10" s="7" t="s">
        <v>118</v>
      </c>
      <c r="B10" s="7" t="s">
        <v>123</v>
      </c>
      <c r="C10" s="8">
        <v>600</v>
      </c>
      <c r="D10" s="8">
        <v>450</v>
      </c>
      <c r="E10" s="8">
        <v>350</v>
      </c>
    </row>
    <row r="11" spans="1:5">
      <c r="A11" s="7" t="s">
        <v>118</v>
      </c>
      <c r="B11" s="7" t="s">
        <v>124</v>
      </c>
      <c r="C11" s="8">
        <v>600</v>
      </c>
      <c r="D11" s="8">
        <v>450</v>
      </c>
      <c r="E11" s="8">
        <v>350</v>
      </c>
    </row>
    <row r="12" spans="1:5">
      <c r="A12" s="7" t="s">
        <v>118</v>
      </c>
      <c r="B12" s="7" t="s">
        <v>125</v>
      </c>
      <c r="C12" s="8">
        <v>600</v>
      </c>
      <c r="D12" s="8">
        <v>450</v>
      </c>
      <c r="E12" s="8">
        <v>350</v>
      </c>
    </row>
    <row r="13" spans="1:5">
      <c r="A13" s="7" t="s">
        <v>118</v>
      </c>
      <c r="B13" s="7" t="s">
        <v>126</v>
      </c>
      <c r="C13" s="8">
        <v>600</v>
      </c>
      <c r="D13" s="8">
        <v>450</v>
      </c>
      <c r="E13" s="8">
        <v>350</v>
      </c>
    </row>
    <row r="14" spans="1:5">
      <c r="A14" s="7" t="s">
        <v>118</v>
      </c>
      <c r="B14" s="7" t="s">
        <v>127</v>
      </c>
      <c r="C14" s="8">
        <v>600</v>
      </c>
      <c r="D14" s="8">
        <v>450</v>
      </c>
      <c r="E14" s="8">
        <v>350</v>
      </c>
    </row>
    <row r="15" spans="1:5">
      <c r="A15" s="7" t="s">
        <v>118</v>
      </c>
      <c r="B15" s="7" t="s">
        <v>128</v>
      </c>
      <c r="C15" s="8">
        <v>600</v>
      </c>
      <c r="D15" s="8">
        <v>450</v>
      </c>
      <c r="E15" s="8">
        <v>350</v>
      </c>
    </row>
    <row r="16" spans="1:5">
      <c r="A16" s="7" t="s">
        <v>118</v>
      </c>
      <c r="B16" s="7" t="s">
        <v>129</v>
      </c>
      <c r="C16" s="8">
        <v>600</v>
      </c>
      <c r="D16" s="8">
        <v>450</v>
      </c>
      <c r="E16" s="8">
        <v>350</v>
      </c>
    </row>
    <row r="17" spans="1:5">
      <c r="A17" s="7" t="s">
        <v>118</v>
      </c>
      <c r="B17" s="7" t="s">
        <v>130</v>
      </c>
      <c r="C17" s="8">
        <v>600</v>
      </c>
      <c r="D17" s="8">
        <v>450</v>
      </c>
      <c r="E17" s="8">
        <v>350</v>
      </c>
    </row>
    <row r="18" spans="1:5">
      <c r="A18" s="7" t="s">
        <v>118</v>
      </c>
      <c r="B18" s="7" t="s">
        <v>131</v>
      </c>
      <c r="C18" s="8">
        <v>600</v>
      </c>
      <c r="D18" s="8">
        <v>450</v>
      </c>
      <c r="E18" s="8">
        <v>350</v>
      </c>
    </row>
    <row r="19" spans="1:5">
      <c r="A19" s="7" t="s">
        <v>118</v>
      </c>
      <c r="B19" s="7" t="s">
        <v>132</v>
      </c>
      <c r="C19" s="8">
        <v>600</v>
      </c>
      <c r="D19" s="8">
        <v>450</v>
      </c>
      <c r="E19" s="8">
        <v>350</v>
      </c>
    </row>
    <row r="20" spans="1:5">
      <c r="A20" s="7" t="s">
        <v>118</v>
      </c>
      <c r="B20" s="7" t="s">
        <v>133</v>
      </c>
      <c r="C20" s="8">
        <v>600</v>
      </c>
      <c r="D20" s="8">
        <v>450</v>
      </c>
      <c r="E20" s="8">
        <v>350</v>
      </c>
    </row>
    <row r="21" spans="1:5">
      <c r="A21" s="7" t="s">
        <v>118</v>
      </c>
      <c r="B21" s="7" t="s">
        <v>134</v>
      </c>
      <c r="C21" s="8">
        <v>600</v>
      </c>
      <c r="D21" s="8">
        <v>450</v>
      </c>
      <c r="E21" s="8">
        <v>350</v>
      </c>
    </row>
    <row r="22" spans="1:5">
      <c r="A22" s="7" t="s">
        <v>118</v>
      </c>
      <c r="B22" s="7" t="s">
        <v>135</v>
      </c>
      <c r="C22" s="8">
        <v>600</v>
      </c>
      <c r="D22" s="8">
        <v>450</v>
      </c>
      <c r="E22" s="8">
        <v>350</v>
      </c>
    </row>
    <row r="23" spans="1:5">
      <c r="A23" s="7" t="s">
        <v>118</v>
      </c>
      <c r="B23" s="7" t="s">
        <v>136</v>
      </c>
      <c r="C23" s="8">
        <v>600</v>
      </c>
      <c r="D23" s="8">
        <v>450</v>
      </c>
      <c r="E23" s="8">
        <v>350</v>
      </c>
    </row>
    <row r="24" spans="1:5">
      <c r="A24" s="7" t="s">
        <v>118</v>
      </c>
      <c r="B24" s="7" t="s">
        <v>137</v>
      </c>
      <c r="C24" s="8">
        <v>600</v>
      </c>
      <c r="D24" s="8">
        <v>450</v>
      </c>
      <c r="E24" s="8">
        <v>350</v>
      </c>
    </row>
    <row r="25" spans="1:5">
      <c r="A25" s="7" t="s">
        <v>118</v>
      </c>
      <c r="B25" s="7" t="s">
        <v>138</v>
      </c>
      <c r="C25" s="8">
        <v>600</v>
      </c>
      <c r="D25" s="8">
        <v>450</v>
      </c>
      <c r="E25" s="8">
        <v>350</v>
      </c>
    </row>
    <row r="26" spans="1:5">
      <c r="A26" s="7" t="s">
        <v>118</v>
      </c>
      <c r="B26" s="7" t="s">
        <v>139</v>
      </c>
      <c r="C26" s="8">
        <v>600</v>
      </c>
      <c r="D26" s="8">
        <v>450</v>
      </c>
      <c r="E26" s="8">
        <v>350</v>
      </c>
    </row>
    <row r="27" spans="1:5">
      <c r="A27" s="7" t="s">
        <v>118</v>
      </c>
      <c r="B27" s="7" t="s">
        <v>140</v>
      </c>
      <c r="C27" s="8">
        <v>600</v>
      </c>
      <c r="D27" s="8">
        <v>450</v>
      </c>
      <c r="E27" s="8">
        <v>350</v>
      </c>
    </row>
    <row r="28" spans="1:5">
      <c r="A28" s="7" t="s">
        <v>118</v>
      </c>
      <c r="B28" s="7" t="s">
        <v>141</v>
      </c>
      <c r="C28" s="8">
        <v>600</v>
      </c>
      <c r="D28" s="8">
        <v>450</v>
      </c>
      <c r="E28" s="8">
        <v>350</v>
      </c>
    </row>
    <row r="29" spans="1:5">
      <c r="A29" s="7" t="s">
        <v>118</v>
      </c>
      <c r="B29" s="7" t="s">
        <v>142</v>
      </c>
      <c r="C29" s="8">
        <v>600</v>
      </c>
      <c r="D29" s="8">
        <v>450</v>
      </c>
      <c r="E29" s="8">
        <v>350</v>
      </c>
    </row>
    <row r="30" spans="1:5">
      <c r="A30" s="7" t="s">
        <v>118</v>
      </c>
      <c r="B30" s="7" t="s">
        <v>143</v>
      </c>
      <c r="C30" s="8">
        <v>600</v>
      </c>
      <c r="D30" s="8">
        <v>450</v>
      </c>
      <c r="E30" s="8">
        <v>350</v>
      </c>
    </row>
    <row r="31" spans="1:5">
      <c r="A31" s="7" t="s">
        <v>118</v>
      </c>
      <c r="B31" s="7" t="s">
        <v>144</v>
      </c>
      <c r="C31" s="8">
        <v>600</v>
      </c>
      <c r="D31" s="8">
        <v>450</v>
      </c>
      <c r="E31" s="8">
        <v>350</v>
      </c>
    </row>
    <row r="32" spans="1:5">
      <c r="A32" s="7" t="s">
        <v>118</v>
      </c>
      <c r="B32" s="7" t="s">
        <v>145</v>
      </c>
      <c r="C32" s="8">
        <v>600</v>
      </c>
      <c r="D32" s="8">
        <v>450</v>
      </c>
      <c r="E32" s="8">
        <v>350</v>
      </c>
    </row>
    <row r="33" spans="1:5">
      <c r="A33" s="7" t="s">
        <v>118</v>
      </c>
      <c r="B33" s="7" t="s">
        <v>146</v>
      </c>
      <c r="C33" s="8">
        <v>600</v>
      </c>
      <c r="D33" s="8">
        <v>450</v>
      </c>
      <c r="E33" s="8">
        <v>350</v>
      </c>
    </row>
    <row r="34" spans="1:5">
      <c r="A34" s="7" t="s">
        <v>147</v>
      </c>
      <c r="B34" s="12" t="s">
        <v>148</v>
      </c>
      <c r="C34" s="8">
        <v>600</v>
      </c>
      <c r="D34" s="8">
        <v>450</v>
      </c>
      <c r="E34" s="8">
        <v>350</v>
      </c>
    </row>
    <row r="35" spans="1:5">
      <c r="A35" s="7" t="s">
        <v>147</v>
      </c>
      <c r="B35" s="12" t="s">
        <v>149</v>
      </c>
      <c r="C35" s="8">
        <v>600</v>
      </c>
      <c r="D35" s="8">
        <v>450</v>
      </c>
      <c r="E35" s="8">
        <v>350</v>
      </c>
    </row>
    <row r="36" spans="1:5">
      <c r="A36" s="7" t="s">
        <v>147</v>
      </c>
      <c r="B36" s="7" t="s">
        <v>150</v>
      </c>
      <c r="C36" s="8">
        <v>600</v>
      </c>
      <c r="D36" s="8">
        <v>450</v>
      </c>
      <c r="E36" s="8">
        <v>350</v>
      </c>
    </row>
    <row r="37" spans="1:5">
      <c r="A37" s="7" t="s">
        <v>147</v>
      </c>
      <c r="B37" s="7" t="s">
        <v>151</v>
      </c>
      <c r="C37" s="8">
        <v>600</v>
      </c>
      <c r="D37" s="8">
        <v>450</v>
      </c>
      <c r="E37" s="8">
        <v>350</v>
      </c>
    </row>
    <row r="38" spans="1:5">
      <c r="A38" s="7" t="s">
        <v>152</v>
      </c>
      <c r="B38" s="7" t="s">
        <v>153</v>
      </c>
      <c r="C38" s="8">
        <v>500</v>
      </c>
      <c r="D38" s="8">
        <v>300</v>
      </c>
      <c r="E38" s="8">
        <v>300</v>
      </c>
    </row>
  </sheetData>
  <autoFilter xmlns:etc="http://www.wps.cn/officeDocument/2017/etCustomData" ref="A1:C42" etc:filterBottomFollowUsedRange="0">
    <extLst/>
  </autoFilter>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opLeftCell="A23" workbookViewId="0">
      <selection activeCell="C23" sqref="C23"/>
    </sheetView>
  </sheetViews>
  <sheetFormatPr defaultColWidth="9" defaultRowHeight="13.2" outlineLevelCol="2"/>
  <cols>
    <col min="1" max="1" width="6.55555555555556" style="1" customWidth="1"/>
    <col min="2" max="2" width="31.4444444444444" style="1" customWidth="1"/>
    <col min="3" max="3" width="79.3333333333333" style="1" customWidth="1"/>
    <col min="4" max="16384" width="8.87962962962963" style="1"/>
  </cols>
  <sheetData>
    <row r="1" spans="1:3">
      <c r="A1" s="5" t="s">
        <v>154</v>
      </c>
      <c r="B1" s="5" t="s">
        <v>26</v>
      </c>
      <c r="C1" s="6" t="s">
        <v>155</v>
      </c>
    </row>
    <row r="2" ht="18" customHeight="1" spans="1:3">
      <c r="A2" s="1" t="s">
        <v>156</v>
      </c>
      <c r="B2" s="1" t="s">
        <v>157</v>
      </c>
    </row>
    <row r="3" ht="18" customHeight="1" spans="1:3">
      <c r="A3" s="1" t="s">
        <v>158</v>
      </c>
      <c r="B3" s="1" t="s">
        <v>159</v>
      </c>
    </row>
    <row r="4" ht="18" customHeight="1" spans="1:3">
      <c r="A4" s="1" t="s">
        <v>160</v>
      </c>
      <c r="B4" s="1" t="s">
        <v>161</v>
      </c>
    </row>
    <row r="5" ht="18" customHeight="1" spans="1:3">
      <c r="A5" s="1" t="s">
        <v>20</v>
      </c>
      <c r="B5" s="1" t="s">
        <v>162</v>
      </c>
    </row>
    <row r="6" ht="18" customHeight="1" spans="1:3">
      <c r="B6" s="1" t="s">
        <v>163</v>
      </c>
    </row>
    <row r="7" ht="18" customHeight="1" spans="1:3">
      <c r="B7" s="1" t="s">
        <v>164</v>
      </c>
    </row>
    <row r="8" ht="18" customHeight="1" spans="1:3">
      <c r="B8" s="1" t="s">
        <v>165</v>
      </c>
    </row>
    <row r="9" ht="18" customHeight="1" spans="1:3">
      <c r="B9" s="1" t="s">
        <v>166</v>
      </c>
    </row>
    <row r="10" ht="18" customHeight="1" spans="1:3">
      <c r="B10" s="1" t="s">
        <v>167</v>
      </c>
    </row>
    <row r="11" ht="18" customHeight="1" spans="1:3">
      <c r="B11" s="1" t="s">
        <v>168</v>
      </c>
    </row>
    <row r="12" ht="18" customHeight="1" spans="1:3">
      <c r="B12" s="1" t="s">
        <v>169</v>
      </c>
    </row>
    <row r="13" spans="1:3">
      <c r="B13" s="1" t="s">
        <v>170</v>
      </c>
    </row>
    <row r="14" spans="1:3">
      <c r="B14" s="1" t="s">
        <v>171</v>
      </c>
    </row>
    <row r="15" spans="1:3">
      <c r="B15" s="1" t="s">
        <v>172</v>
      </c>
    </row>
    <row r="16" spans="1:3">
      <c r="B16" s="1" t="s">
        <v>173</v>
      </c>
    </row>
    <row r="17" spans="2:3">
      <c r="B17" s="1" t="s">
        <v>174</v>
      </c>
    </row>
    <row r="18" spans="2:3">
      <c r="B18" s="1" t="s">
        <v>175</v>
      </c>
    </row>
    <row r="19" spans="2:3">
      <c r="B19" s="1" t="s">
        <v>176</v>
      </c>
    </row>
    <row r="20" spans="2:3">
      <c r="B20" s="1" t="s">
        <v>177</v>
      </c>
    </row>
    <row r="21" spans="2:3">
      <c r="B21" s="1" t="s">
        <v>178</v>
      </c>
    </row>
    <row r="22" spans="2:3">
      <c r="B22" s="1" t="s">
        <v>179</v>
      </c>
      <c r="C22" s="1" t="s">
        <v>180</v>
      </c>
    </row>
    <row r="23" spans="2:3">
      <c r="B23" s="1" t="s">
        <v>181</v>
      </c>
    </row>
    <row r="24" spans="2:3">
      <c r="B24" s="1" t="s">
        <v>182</v>
      </c>
      <c r="C24" s="1" t="s">
        <v>183</v>
      </c>
    </row>
    <row r="25" spans="2:3">
      <c r="B25" s="1" t="s">
        <v>31</v>
      </c>
    </row>
    <row r="26" spans="2:3">
      <c r="B26" s="1" t="s">
        <v>184</v>
      </c>
      <c r="C26" s="1" t="s">
        <v>185</v>
      </c>
    </row>
    <row r="27" spans="2:3">
      <c r="B27" s="1" t="s">
        <v>186</v>
      </c>
    </row>
    <row r="28" ht="16.8" customHeight="1" spans="2:3">
      <c r="B28" s="1" t="s">
        <v>187</v>
      </c>
    </row>
    <row r="29" ht="16.8" customHeight="1" spans="2:3">
      <c r="B29" s="1" t="s">
        <v>188</v>
      </c>
      <c r="C29" s="1" t="s">
        <v>189</v>
      </c>
    </row>
    <row r="30" ht="16.8" customHeight="1" spans="2:3">
      <c r="B30" s="1" t="s">
        <v>190</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D71"/>
  <sheetViews>
    <sheetView workbookViewId="0">
      <selection activeCell="D70" sqref="D70"/>
    </sheetView>
  </sheetViews>
  <sheetFormatPr defaultColWidth="9" defaultRowHeight="13.2" outlineLevelCol="3"/>
  <cols>
    <col min="1" max="1" width="9.55555555555556" style="1" customWidth="1"/>
    <col min="2" max="2" width="22.6666666666667" style="1" customWidth="1"/>
    <col min="3" max="3" width="32.3333333333333" style="1" customWidth="1"/>
    <col min="4" max="4" width="77.6666666666667" style="2" customWidth="1"/>
    <col min="5" max="16384" width="8.87962962962963" style="1"/>
  </cols>
  <sheetData>
    <row r="1" spans="1:4">
      <c r="A1" s="3" t="s">
        <v>191</v>
      </c>
      <c r="B1" s="3" t="s">
        <v>192</v>
      </c>
      <c r="C1" s="3" t="s">
        <v>193</v>
      </c>
      <c r="D1" s="4" t="s">
        <v>194</v>
      </c>
    </row>
    <row r="2" ht="26.4" spans="1:4">
      <c r="A2" s="1" t="s">
        <v>195</v>
      </c>
      <c r="B2" s="1" t="s">
        <v>196</v>
      </c>
      <c r="C2" s="1" t="str">
        <f t="shared" ref="C2:C30" si="0">A2&amp;$C$1&amp;B2</f>
        <v>办公费/公司资质费</v>
      </c>
      <c r="D2" s="2" t="s">
        <v>197</v>
      </c>
    </row>
    <row r="3" spans="1:4">
      <c r="A3" s="1" t="s">
        <v>195</v>
      </c>
      <c r="B3" s="1" t="s">
        <v>198</v>
      </c>
      <c r="C3" s="1" t="str">
        <f t="shared" si="0"/>
        <v>办公费/饮用水费用</v>
      </c>
      <c r="D3" s="2" t="s">
        <v>199</v>
      </c>
    </row>
    <row r="4" spans="1:4">
      <c r="A4" s="1" t="s">
        <v>195</v>
      </c>
      <c r="B4" s="1" t="s">
        <v>200</v>
      </c>
      <c r="C4" s="1" t="str">
        <f t="shared" si="0"/>
        <v>办公费/场地使用费</v>
      </c>
      <c r="D4" s="2" t="s">
        <v>201</v>
      </c>
    </row>
    <row r="5" spans="1:4">
      <c r="A5" s="1" t="s">
        <v>195</v>
      </c>
      <c r="B5" s="1" t="s">
        <v>202</v>
      </c>
      <c r="C5" s="1" t="str">
        <f t="shared" si="0"/>
        <v>办公费/办公用品费</v>
      </c>
      <c r="D5" s="2" t="s">
        <v>203</v>
      </c>
    </row>
    <row r="6" spans="1:4">
      <c r="A6" s="1" t="s">
        <v>195</v>
      </c>
      <c r="B6" s="1" t="s">
        <v>204</v>
      </c>
      <c r="C6" s="1" t="str">
        <f t="shared" si="0"/>
        <v>办公费/搬运杂费</v>
      </c>
      <c r="D6" s="2" t="s">
        <v>205</v>
      </c>
    </row>
    <row r="7" spans="1:4">
      <c r="A7" s="1" t="s">
        <v>195</v>
      </c>
      <c r="B7" s="1" t="s">
        <v>206</v>
      </c>
      <c r="C7" s="1" t="str">
        <f t="shared" si="0"/>
        <v>办公费/企业邮箱费</v>
      </c>
      <c r="D7" s="2" t="s">
        <v>207</v>
      </c>
    </row>
    <row r="8" spans="1:4">
      <c r="A8" s="1" t="s">
        <v>195</v>
      </c>
      <c r="B8" s="1" t="s">
        <v>208</v>
      </c>
      <c r="C8" s="1" t="str">
        <f t="shared" si="0"/>
        <v>办公费/软件使用费</v>
      </c>
      <c r="D8" s="2" t="s">
        <v>209</v>
      </c>
    </row>
    <row r="9" spans="1:4">
      <c r="A9" s="1" t="s">
        <v>195</v>
      </c>
      <c r="B9" s="1" t="s">
        <v>210</v>
      </c>
      <c r="C9" s="1" t="str">
        <f t="shared" si="0"/>
        <v>办公费/低值易耗品</v>
      </c>
      <c r="D9" s="2" t="s">
        <v>211</v>
      </c>
    </row>
    <row r="10" spans="1:4">
      <c r="A10" s="1" t="s">
        <v>195</v>
      </c>
      <c r="B10" s="1" t="s">
        <v>212</v>
      </c>
      <c r="C10" s="1" t="str">
        <f t="shared" si="0"/>
        <v>办公费/快递费</v>
      </c>
      <c r="D10" s="2" t="s">
        <v>213</v>
      </c>
    </row>
    <row r="11" spans="1:4">
      <c r="A11" s="1" t="s">
        <v>195</v>
      </c>
      <c r="B11" s="1" t="s">
        <v>214</v>
      </c>
      <c r="C11" s="1" t="str">
        <f t="shared" si="0"/>
        <v>办公费/清洁绿化费</v>
      </c>
      <c r="D11" s="2" t="s">
        <v>215</v>
      </c>
    </row>
    <row r="12" spans="1:4">
      <c r="A12" s="1" t="s">
        <v>195</v>
      </c>
      <c r="B12" s="1" t="s">
        <v>216</v>
      </c>
      <c r="C12" s="1" t="str">
        <f t="shared" si="0"/>
        <v>办公费/行政维修费</v>
      </c>
      <c r="D12" s="2" t="s">
        <v>217</v>
      </c>
    </row>
    <row r="13" spans="1:4">
      <c r="A13" s="1" t="s">
        <v>195</v>
      </c>
      <c r="B13" s="1" t="s">
        <v>218</v>
      </c>
      <c r="C13" s="1" t="str">
        <f t="shared" si="0"/>
        <v>办公费/其他办公费</v>
      </c>
      <c r="D13" s="2" t="s">
        <v>219</v>
      </c>
    </row>
    <row r="14" ht="26.4" spans="1:4">
      <c r="A14" s="1" t="s">
        <v>220</v>
      </c>
      <c r="B14" s="1" t="s">
        <v>221</v>
      </c>
      <c r="C14" s="1" t="str">
        <f t="shared" si="0"/>
        <v>福利费/职工福利费</v>
      </c>
      <c r="D14" s="2" t="s">
        <v>222</v>
      </c>
    </row>
    <row r="15" spans="1:4">
      <c r="A15" s="1" t="s">
        <v>220</v>
      </c>
      <c r="B15" s="1" t="s">
        <v>223</v>
      </c>
      <c r="C15" s="1" t="str">
        <f t="shared" si="0"/>
        <v>福利费/文化活动费</v>
      </c>
      <c r="D15" s="2" t="s">
        <v>224</v>
      </c>
    </row>
    <row r="16" spans="1:4">
      <c r="A16" s="1" t="s">
        <v>220</v>
      </c>
      <c r="B16" s="1" t="s">
        <v>225</v>
      </c>
      <c r="C16" s="1" t="str">
        <f t="shared" si="0"/>
        <v>福利费/技能提升费</v>
      </c>
      <c r="D16" s="2" t="s">
        <v>226</v>
      </c>
    </row>
    <row r="17" spans="1:4">
      <c r="A17" s="1" t="s">
        <v>220</v>
      </c>
      <c r="B17" s="1" t="s">
        <v>227</v>
      </c>
      <c r="C17" s="1" t="str">
        <f t="shared" si="0"/>
        <v>福利费/工伤慰问费</v>
      </c>
      <c r="D17" s="2" t="s">
        <v>228</v>
      </c>
    </row>
    <row r="18" spans="1:4">
      <c r="A18" s="1" t="s">
        <v>220</v>
      </c>
      <c r="B18" s="1" t="s">
        <v>229</v>
      </c>
      <c r="C18" s="1" t="str">
        <f t="shared" si="0"/>
        <v>福利费/员工体检费</v>
      </c>
      <c r="D18" s="2" t="s">
        <v>230</v>
      </c>
    </row>
    <row r="19" spans="1:4">
      <c r="A19" s="1" t="s">
        <v>231</v>
      </c>
      <c r="B19" s="1" t="s">
        <v>75</v>
      </c>
      <c r="C19" s="1" t="str">
        <f t="shared" si="0"/>
        <v>差旅费/交通费</v>
      </c>
      <c r="D19" s="2" t="s">
        <v>232</v>
      </c>
    </row>
    <row r="20" spans="1:4">
      <c r="A20" s="1" t="s">
        <v>231</v>
      </c>
      <c r="B20" s="1" t="s">
        <v>76</v>
      </c>
      <c r="C20" s="1" t="str">
        <f t="shared" si="0"/>
        <v>差旅费/住宿费</v>
      </c>
      <c r="D20" s="2" t="s">
        <v>233</v>
      </c>
    </row>
    <row r="21" spans="1:4">
      <c r="A21" s="1" t="s">
        <v>231</v>
      </c>
      <c r="B21" s="1" t="s">
        <v>234</v>
      </c>
      <c r="C21" s="1" t="str">
        <f t="shared" si="0"/>
        <v>差旅费/出差补贴</v>
      </c>
      <c r="D21" s="2" t="s">
        <v>235</v>
      </c>
    </row>
    <row r="22" spans="1:4">
      <c r="A22" s="1" t="s">
        <v>231</v>
      </c>
      <c r="B22" s="1" t="s">
        <v>236</v>
      </c>
      <c r="C22" s="1" t="str">
        <f t="shared" si="0"/>
        <v>差旅费/其他</v>
      </c>
      <c r="D22" s="2" t="s">
        <v>237</v>
      </c>
    </row>
    <row r="23" spans="1:4">
      <c r="A23" s="1" t="s">
        <v>238</v>
      </c>
      <c r="B23" s="1" t="s">
        <v>239</v>
      </c>
      <c r="C23" s="1" t="str">
        <f t="shared" si="0"/>
        <v>研发费用/软件许可费</v>
      </c>
      <c r="D23" s="2" t="s">
        <v>240</v>
      </c>
    </row>
    <row r="24" spans="1:4">
      <c r="A24" s="1" t="s">
        <v>238</v>
      </c>
      <c r="B24" s="1" t="s">
        <v>241</v>
      </c>
      <c r="C24" s="1" t="str">
        <f t="shared" si="0"/>
        <v>研发费用/E-SIM流量费</v>
      </c>
      <c r="D24" s="2" t="s">
        <v>242</v>
      </c>
    </row>
    <row r="25" spans="1:4">
      <c r="A25" s="1" t="s">
        <v>238</v>
      </c>
      <c r="B25" s="1" t="s">
        <v>243</v>
      </c>
      <c r="C25" s="1" t="str">
        <f t="shared" si="0"/>
        <v>研发费用/仪器设备租赁费</v>
      </c>
    </row>
    <row r="26" spans="1:4">
      <c r="A26" s="1" t="s">
        <v>238</v>
      </c>
      <c r="B26" s="1" t="s">
        <v>244</v>
      </c>
      <c r="C26" s="1" t="str">
        <f t="shared" si="0"/>
        <v>研发费用/委托开发费</v>
      </c>
      <c r="D26" s="2" t="s">
        <v>245</v>
      </c>
    </row>
    <row r="27" spans="1:4">
      <c r="A27" s="1" t="s">
        <v>238</v>
      </c>
      <c r="B27" s="1" t="s">
        <v>246</v>
      </c>
      <c r="C27" s="1" t="str">
        <f t="shared" si="0"/>
        <v>研发费用/专利申请代理费及年费</v>
      </c>
    </row>
    <row r="28" spans="1:4">
      <c r="A28" s="1" t="s">
        <v>238</v>
      </c>
      <c r="B28" s="1" t="s">
        <v>247</v>
      </c>
      <c r="C28" s="1" t="str">
        <f t="shared" si="0"/>
        <v>研发费用/设备维护费</v>
      </c>
    </row>
    <row r="29" spans="1:4">
      <c r="A29" s="1" t="s">
        <v>238</v>
      </c>
      <c r="B29" s="1" t="s">
        <v>248</v>
      </c>
      <c r="C29" s="1" t="str">
        <f t="shared" si="0"/>
        <v>研发费用/设备租赁费</v>
      </c>
    </row>
    <row r="30" spans="1:4">
      <c r="A30" s="1" t="s">
        <v>249</v>
      </c>
      <c r="B30" s="1" t="s">
        <v>250</v>
      </c>
      <c r="C30" s="1" t="str">
        <f t="shared" si="0"/>
        <v>其他类/房租</v>
      </c>
      <c r="D30" s="2" t="s">
        <v>251</v>
      </c>
    </row>
    <row r="31" spans="1:4">
      <c r="A31" s="1" t="s">
        <v>249</v>
      </c>
      <c r="B31" s="1" t="s">
        <v>252</v>
      </c>
      <c r="C31" s="1" t="str">
        <f t="shared" ref="C31:C66" si="1">A31&amp;$C$1&amp;B31</f>
        <v>其他类/物业管理费</v>
      </c>
      <c r="D31" s="2" t="s">
        <v>253</v>
      </c>
    </row>
    <row r="32" spans="1:4">
      <c r="A32" s="1" t="s">
        <v>249</v>
      </c>
      <c r="B32" s="1" t="s">
        <v>254</v>
      </c>
      <c r="C32" s="1" t="str">
        <f t="shared" si="1"/>
        <v>其他类/水费</v>
      </c>
      <c r="D32" s="2" t="s">
        <v>255</v>
      </c>
    </row>
    <row r="33" spans="1:4">
      <c r="A33" s="1" t="s">
        <v>249</v>
      </c>
      <c r="B33" s="1" t="s">
        <v>256</v>
      </c>
      <c r="C33" s="1" t="str">
        <f t="shared" si="1"/>
        <v>其他类/电费</v>
      </c>
      <c r="D33" s="2" t="s">
        <v>257</v>
      </c>
    </row>
    <row r="34" ht="26.4" spans="1:4">
      <c r="A34" s="1" t="s">
        <v>249</v>
      </c>
      <c r="B34" s="1" t="s">
        <v>258</v>
      </c>
      <c r="C34" s="1" t="str">
        <f t="shared" si="1"/>
        <v>其他类/业务招待费</v>
      </c>
      <c r="D34" s="2" t="s">
        <v>259</v>
      </c>
    </row>
    <row r="35" spans="1:4">
      <c r="A35" s="1" t="s">
        <v>249</v>
      </c>
      <c r="B35" s="1" t="s">
        <v>260</v>
      </c>
      <c r="C35" s="1" t="str">
        <f t="shared" si="1"/>
        <v>其他类/通讯费</v>
      </c>
      <c r="D35" s="2" t="s">
        <v>261</v>
      </c>
    </row>
    <row r="36" spans="1:4">
      <c r="A36" s="1" t="s">
        <v>249</v>
      </c>
      <c r="B36" s="1" t="s">
        <v>262</v>
      </c>
      <c r="C36" s="1" t="str">
        <f t="shared" si="1"/>
        <v>其他类/市内交通费</v>
      </c>
      <c r="D36" s="2" t="s">
        <v>263</v>
      </c>
    </row>
    <row r="37" spans="1:4">
      <c r="A37" s="1" t="s">
        <v>249</v>
      </c>
      <c r="B37" s="1" t="s">
        <v>264</v>
      </c>
      <c r="C37" s="1" t="str">
        <f t="shared" si="1"/>
        <v>其他类/会议费</v>
      </c>
      <c r="D37" s="2" t="s">
        <v>265</v>
      </c>
    </row>
    <row r="38" ht="26.4" spans="1:4">
      <c r="A38" s="1" t="s">
        <v>249</v>
      </c>
      <c r="B38" s="1" t="s">
        <v>266</v>
      </c>
      <c r="C38" s="1" t="str">
        <f t="shared" si="1"/>
        <v>其他类/招聘费</v>
      </c>
      <c r="D38" s="2" t="s">
        <v>267</v>
      </c>
    </row>
    <row r="39" ht="26.4" spans="1:4">
      <c r="A39" s="1" t="s">
        <v>249</v>
      </c>
      <c r="B39" s="1" t="s">
        <v>268</v>
      </c>
      <c r="C39" s="1" t="str">
        <f t="shared" si="1"/>
        <v>其他类/宣传推广费</v>
      </c>
      <c r="D39" s="2" t="s">
        <v>269</v>
      </c>
    </row>
    <row r="40" spans="1:4">
      <c r="A40" s="1" t="s">
        <v>249</v>
      </c>
      <c r="B40" s="1" t="s">
        <v>270</v>
      </c>
      <c r="C40" s="1" t="str">
        <f t="shared" si="1"/>
        <v>其他类/咨询费</v>
      </c>
      <c r="D40" s="2" t="s">
        <v>271</v>
      </c>
    </row>
    <row r="41" spans="1:4">
      <c r="A41" s="1" t="s">
        <v>249</v>
      </c>
      <c r="B41" s="1" t="s">
        <v>272</v>
      </c>
      <c r="C41" s="1" t="str">
        <f t="shared" si="1"/>
        <v>其他类/专业劳务费</v>
      </c>
      <c r="D41" s="2" t="s">
        <v>273</v>
      </c>
    </row>
    <row r="42" spans="1:4">
      <c r="A42" s="1" t="s">
        <v>249</v>
      </c>
      <c r="B42" s="1" t="s">
        <v>274</v>
      </c>
      <c r="C42" s="1" t="str">
        <f t="shared" si="1"/>
        <v>其他类/律师服务费</v>
      </c>
      <c r="D42" s="2" t="s">
        <v>275</v>
      </c>
    </row>
    <row r="43" spans="1:4">
      <c r="A43" s="1" t="s">
        <v>249</v>
      </c>
      <c r="B43" s="1" t="s">
        <v>276</v>
      </c>
      <c r="C43" s="1" t="str">
        <f t="shared" si="1"/>
        <v>其他类/诉讼费</v>
      </c>
      <c r="D43" s="2" t="s">
        <v>277</v>
      </c>
    </row>
    <row r="44" spans="1:4">
      <c r="A44" s="1" t="s">
        <v>249</v>
      </c>
      <c r="B44" s="1" t="s">
        <v>278</v>
      </c>
      <c r="C44" s="1" t="str">
        <f t="shared" si="1"/>
        <v>其他类/审计费</v>
      </c>
      <c r="D44" s="2" t="s">
        <v>279</v>
      </c>
    </row>
    <row r="45" spans="1:4">
      <c r="A45" s="1" t="s">
        <v>249</v>
      </c>
      <c r="B45" s="1" t="s">
        <v>280</v>
      </c>
      <c r="C45" s="1" t="str">
        <f t="shared" si="1"/>
        <v>其他类/离职补偿金</v>
      </c>
      <c r="D45" s="2" t="s">
        <v>281</v>
      </c>
    </row>
    <row r="46" spans="1:4">
      <c r="A46" s="1" t="s">
        <v>249</v>
      </c>
      <c r="B46" s="1" t="s">
        <v>282</v>
      </c>
      <c r="C46" s="1" t="str">
        <f t="shared" si="1"/>
        <v>其他类/残疾人就业保障金</v>
      </c>
    </row>
    <row r="47" spans="1:4">
      <c r="A47" s="1" t="s">
        <v>249</v>
      </c>
      <c r="B47" s="1" t="s">
        <v>283</v>
      </c>
      <c r="C47" s="1" t="str">
        <f t="shared" si="1"/>
        <v>其他类/服务费</v>
      </c>
      <c r="D47" s="2" t="s">
        <v>284</v>
      </c>
    </row>
    <row r="48" spans="1:4">
      <c r="A48" s="1" t="s">
        <v>249</v>
      </c>
      <c r="B48" s="1" t="s">
        <v>285</v>
      </c>
      <c r="C48" s="1" t="str">
        <f t="shared" si="1"/>
        <v>其他类/资产维修费</v>
      </c>
      <c r="D48" s="2" t="s">
        <v>286</v>
      </c>
    </row>
    <row r="49" spans="1:4">
      <c r="A49" s="1" t="s">
        <v>249</v>
      </c>
      <c r="B49" s="1" t="s">
        <v>287</v>
      </c>
      <c r="C49" s="1" t="str">
        <f t="shared" si="1"/>
        <v>其他类/保险费</v>
      </c>
      <c r="D49" s="2" t="s">
        <v>288</v>
      </c>
    </row>
    <row r="50" spans="1:4">
      <c r="A50" s="1" t="s">
        <v>249</v>
      </c>
      <c r="B50" s="1" t="s">
        <v>289</v>
      </c>
      <c r="C50" s="1" t="str">
        <f t="shared" si="1"/>
        <v>其他类/技术服务费</v>
      </c>
      <c r="D50" s="2" t="s">
        <v>290</v>
      </c>
    </row>
    <row r="51" spans="1:4">
      <c r="A51" s="1" t="s">
        <v>249</v>
      </c>
      <c r="B51" s="1" t="s">
        <v>291</v>
      </c>
      <c r="C51" s="1" t="str">
        <f t="shared" si="1"/>
        <v>其他类/运输费用</v>
      </c>
      <c r="D51" s="2" t="s">
        <v>292</v>
      </c>
    </row>
    <row r="52" spans="1:4">
      <c r="A52" s="1" t="s">
        <v>249</v>
      </c>
      <c r="B52" s="1" t="s">
        <v>293</v>
      </c>
      <c r="C52" s="1" t="str">
        <f t="shared" si="1"/>
        <v>其他类/仓储费</v>
      </c>
      <c r="D52" s="2" t="s">
        <v>294</v>
      </c>
    </row>
    <row r="53" spans="1:4">
      <c r="A53" s="1" t="s">
        <v>249</v>
      </c>
      <c r="B53" s="1" t="s">
        <v>295</v>
      </c>
      <c r="C53" s="1" t="str">
        <f t="shared" si="1"/>
        <v>其他类/固定资产</v>
      </c>
      <c r="D53" s="2" t="s">
        <v>296</v>
      </c>
    </row>
    <row r="54" spans="1:4">
      <c r="A54" s="1" t="s">
        <v>249</v>
      </c>
      <c r="B54" s="1" t="s">
        <v>297</v>
      </c>
      <c r="C54" s="1" t="str">
        <f t="shared" si="1"/>
        <v>其他类/场地施工改造费</v>
      </c>
    </row>
    <row r="55" spans="1:4">
      <c r="A55" s="1" t="s">
        <v>249</v>
      </c>
      <c r="B55" s="1" t="s">
        <v>298</v>
      </c>
      <c r="C55" s="1" t="str">
        <f t="shared" si="1"/>
        <v>其他类/配件物料费</v>
      </c>
      <c r="D55" s="2" t="s">
        <v>299</v>
      </c>
    </row>
    <row r="56" spans="1:4">
      <c r="A56" s="1" t="s">
        <v>249</v>
      </c>
      <c r="B56" s="1" t="s">
        <v>300</v>
      </c>
      <c r="C56" s="1" t="str">
        <f t="shared" si="1"/>
        <v>其他类/电柜安装费</v>
      </c>
    </row>
    <row r="57" spans="1:4">
      <c r="A57" s="1" t="s">
        <v>249</v>
      </c>
      <c r="B57" s="1" t="s">
        <v>301</v>
      </c>
      <c r="C57" s="1" t="str">
        <f t="shared" si="1"/>
        <v>其他类/场站设施</v>
      </c>
      <c r="D57" s="2" t="s">
        <v>302</v>
      </c>
    </row>
    <row r="58" spans="1:4">
      <c r="A58" s="1" t="s">
        <v>249</v>
      </c>
      <c r="B58" s="1" t="s">
        <v>303</v>
      </c>
      <c r="C58" s="1" t="str">
        <f t="shared" si="1"/>
        <v>其他类/回收电池电柜费</v>
      </c>
      <c r="D58" s="2" t="s">
        <v>304</v>
      </c>
    </row>
    <row r="59" spans="1:4">
      <c r="A59" s="1" t="s">
        <v>249</v>
      </c>
      <c r="B59" s="1" t="s">
        <v>305</v>
      </c>
      <c r="C59" s="1" t="str">
        <f t="shared" si="1"/>
        <v>其他类/平台短信验证费</v>
      </c>
    </row>
    <row r="60" spans="1:4">
      <c r="A60" s="1" t="s">
        <v>249</v>
      </c>
      <c r="B60" s="1" t="s">
        <v>306</v>
      </c>
      <c r="C60" s="1" t="str">
        <f t="shared" si="1"/>
        <v>其他类/实名认证费</v>
      </c>
      <c r="D60" s="2" t="s">
        <v>307</v>
      </c>
    </row>
    <row r="61" spans="1:4">
      <c r="A61" s="1" t="s">
        <v>249</v>
      </c>
      <c r="B61" s="1" t="s">
        <v>308</v>
      </c>
      <c r="C61" s="1" t="str">
        <f t="shared" si="1"/>
        <v>其他类/平台维护服务费</v>
      </c>
      <c r="D61" s="2" t="s">
        <v>309</v>
      </c>
    </row>
    <row r="62" spans="1:4">
      <c r="A62" s="1" t="s">
        <v>249</v>
      </c>
      <c r="B62" s="1" t="s">
        <v>310</v>
      </c>
      <c r="C62" s="1" t="str">
        <f t="shared" si="1"/>
        <v>其他类/手续费</v>
      </c>
      <c r="D62" s="2" t="s">
        <v>311</v>
      </c>
    </row>
    <row r="63" spans="1:4">
      <c r="A63" s="1" t="s">
        <v>249</v>
      </c>
      <c r="B63" s="1" t="s">
        <v>312</v>
      </c>
      <c r="C63" s="1" t="str">
        <f t="shared" si="1"/>
        <v>其他类/设计费</v>
      </c>
      <c r="D63" s="2" t="s">
        <v>313</v>
      </c>
    </row>
    <row r="64" spans="1:4">
      <c r="A64" s="1" t="s">
        <v>249</v>
      </c>
      <c r="B64" s="1" t="s">
        <v>314</v>
      </c>
      <c r="C64" s="1" t="str">
        <f t="shared" si="1"/>
        <v>其他类/物联卡流量费</v>
      </c>
      <c r="D64" s="2" t="s">
        <v>315</v>
      </c>
    </row>
    <row r="65" spans="1:4">
      <c r="A65" s="1" t="s">
        <v>249</v>
      </c>
      <c r="B65" s="1" t="s">
        <v>316</v>
      </c>
      <c r="C65" s="1" t="str">
        <f t="shared" si="1"/>
        <v>其他类/SIM卡流量费</v>
      </c>
      <c r="D65" s="2" t="s">
        <v>317</v>
      </c>
    </row>
    <row r="66" spans="1:4">
      <c r="A66" s="1" t="s">
        <v>249</v>
      </c>
      <c r="B66" s="1" t="s">
        <v>318</v>
      </c>
      <c r="C66" s="1" t="str">
        <f t="shared" si="1"/>
        <v>其他类/检测费</v>
      </c>
      <c r="D66" s="2" t="s">
        <v>319</v>
      </c>
    </row>
    <row r="67" spans="1:4">
      <c r="A67" s="1" t="s">
        <v>249</v>
      </c>
    </row>
    <row r="68" spans="1:4">
      <c r="A68" s="1" t="s">
        <v>249</v>
      </c>
    </row>
    <row r="69" spans="1:4">
      <c r="A69" s="1" t="s">
        <v>249</v>
      </c>
    </row>
    <row r="70" spans="1:4">
      <c r="A70" s="1" t="s">
        <v>249</v>
      </c>
    </row>
    <row r="71" spans="1:4">
      <c r="A71" s="1" t="s">
        <v>249</v>
      </c>
    </row>
  </sheetData>
  <conditionalFormatting sqref="B1">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付款单模板</vt:lpstr>
      <vt:lpstr>费用报销单模板</vt:lpstr>
      <vt:lpstr>业务招待费明细表</vt:lpstr>
      <vt:lpstr>交通费报销明细表</vt:lpstr>
      <vt:lpstr>差旅费报销单</vt:lpstr>
      <vt:lpstr>出差报告</vt:lpstr>
      <vt:lpstr>出差住宿标准参考</vt:lpstr>
      <vt:lpstr>基础数据</vt:lpstr>
      <vt:lpstr>费用大类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詹洁</dc:creator>
  <cp:lastModifiedBy>WPS_1768819733</cp:lastModifiedBy>
  <dcterms:created xsi:type="dcterms:W3CDTF">2022-08-26T05:43:00Z</dcterms:created>
  <cp:lastPrinted>2025-08-01T08:39:00Z</cp:lastPrinted>
  <dcterms:modified xsi:type="dcterms:W3CDTF">2026-04-10T01:46:21Z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B3EB1623ADA94FEF86FFDFFB14EFD827_12</vt:lpwstr>
  </property>
  <property fmtid="{D5CDD505-2E9C-101B-9397-08002B2CF9AE}" pid="3" name="KSOProductBuildVer">
    <vt:lpwstr>2052-12.1.0.25225</vt:lpwstr>
  </property>
  <property fmtid="{D5CDD505-2E9C-101B-9397-08002B2CF9AE}" pid="4" name="CalculationRule">
    <vt:i4>0</vt:i4>
  </property>
</Properties>
</file>